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rai\OneDrive\Documentos\Doctorado_Rafa\Codes\PHD\Cognitive-load\"/>
    </mc:Choice>
  </mc:AlternateContent>
  <xr:revisionPtr revIDLastSave="0" documentId="13_ncr:1_{05DB14CF-7C64-440F-A476-A3A5A5FD9D3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arga cognitiva" sheetId="1" r:id="rId1"/>
    <sheet name="CanQuest (Hápticos)" sheetId="2" r:id="rId2"/>
    <sheet name="CanQuest (Control)" sheetId="3" r:id="rId3"/>
    <sheet name="CanQuest (Teclado)" sheetId="4" r:id="rId4"/>
    <sheet name="Laberinto" sheetId="5" r:id="rId5"/>
    <sheet name="Result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7" i="5"/>
  <c r="E8" i="5"/>
  <c r="E3" i="5"/>
  <c r="D4" i="5"/>
  <c r="D5" i="5"/>
  <c r="D6" i="5"/>
  <c r="E6" i="5" s="1"/>
  <c r="D7" i="5"/>
  <c r="D3" i="5"/>
  <c r="E15" i="5"/>
  <c r="E18" i="5"/>
  <c r="E19" i="5"/>
  <c r="D15" i="5"/>
  <c r="D16" i="5"/>
  <c r="E16" i="5" s="1"/>
  <c r="D17" i="5"/>
  <c r="E17" i="5" s="1"/>
  <c r="D18" i="5"/>
  <c r="D14" i="5"/>
  <c r="E14" i="5" s="1"/>
  <c r="E26" i="5"/>
  <c r="E27" i="5"/>
  <c r="E28" i="5"/>
  <c r="E30" i="5"/>
  <c r="E25" i="5"/>
  <c r="D26" i="5"/>
  <c r="D27" i="5"/>
  <c r="D28" i="5"/>
  <c r="D29" i="5"/>
  <c r="E29" i="5" s="1"/>
  <c r="D25" i="5"/>
  <c r="E37" i="5"/>
  <c r="E38" i="5"/>
  <c r="E39" i="5"/>
  <c r="E41" i="5"/>
  <c r="E36" i="5"/>
  <c r="D37" i="5"/>
  <c r="D38" i="5"/>
  <c r="D39" i="5"/>
  <c r="D40" i="5"/>
  <c r="E40" i="5" s="1"/>
  <c r="D36" i="5"/>
  <c r="E52" i="5"/>
  <c r="D48" i="5"/>
  <c r="E48" i="5" s="1"/>
  <c r="D49" i="5"/>
  <c r="E49" i="5" s="1"/>
  <c r="D50" i="5"/>
  <c r="E50" i="5" s="1"/>
  <c r="D51" i="5"/>
  <c r="E51" i="5" s="1"/>
  <c r="D47" i="5"/>
  <c r="E47" i="5" s="1"/>
  <c r="E59" i="5"/>
  <c r="E60" i="5"/>
  <c r="E63" i="5"/>
  <c r="D59" i="5"/>
  <c r="D60" i="5"/>
  <c r="D61" i="5"/>
  <c r="E61" i="5" s="1"/>
  <c r="D62" i="5"/>
  <c r="E62" i="5" s="1"/>
  <c r="D58" i="5"/>
  <c r="E58" i="5" s="1"/>
  <c r="C63" i="5"/>
  <c r="C52" i="5"/>
  <c r="C41" i="5"/>
  <c r="C30" i="5"/>
  <c r="C19" i="5"/>
  <c r="C8" i="5"/>
  <c r="E4" i="4"/>
  <c r="E5" i="4"/>
  <c r="E6" i="4"/>
  <c r="E7" i="4"/>
  <c r="E8" i="4"/>
  <c r="D4" i="4"/>
  <c r="D5" i="4"/>
  <c r="D6" i="4"/>
  <c r="D7" i="4"/>
  <c r="D3" i="4"/>
  <c r="E3" i="4" s="1"/>
  <c r="E19" i="4"/>
  <c r="E14" i="4"/>
  <c r="D15" i="4"/>
  <c r="E15" i="4" s="1"/>
  <c r="D16" i="4"/>
  <c r="E16" i="4" s="1"/>
  <c r="D17" i="4"/>
  <c r="E17" i="4" s="1"/>
  <c r="D18" i="4"/>
  <c r="E18" i="4" s="1"/>
  <c r="D14" i="4"/>
  <c r="E26" i="4"/>
  <c r="E30" i="4"/>
  <c r="D26" i="4"/>
  <c r="D27" i="4"/>
  <c r="E27" i="4" s="1"/>
  <c r="D28" i="4"/>
  <c r="E28" i="4" s="1"/>
  <c r="D29" i="4"/>
  <c r="E29" i="4" s="1"/>
  <c r="D25" i="4"/>
  <c r="E25" i="4" s="1"/>
  <c r="E37" i="4"/>
  <c r="E38" i="4"/>
  <c r="E39" i="4"/>
  <c r="E40" i="4"/>
  <c r="E41" i="4"/>
  <c r="E36" i="4"/>
  <c r="D37" i="4"/>
  <c r="D38" i="4"/>
  <c r="D39" i="4"/>
  <c r="D40" i="4"/>
  <c r="D36" i="4"/>
  <c r="E50" i="4"/>
  <c r="E51" i="4"/>
  <c r="E52" i="4"/>
  <c r="D51" i="4"/>
  <c r="D48" i="4"/>
  <c r="E48" i="4" s="1"/>
  <c r="D49" i="4"/>
  <c r="E49" i="4" s="1"/>
  <c r="D50" i="4"/>
  <c r="D47" i="4"/>
  <c r="E47" i="4" s="1"/>
  <c r="E63" i="4"/>
  <c r="D59" i="4"/>
  <c r="E59" i="4" s="1"/>
  <c r="D60" i="4"/>
  <c r="E60" i="4" s="1"/>
  <c r="D61" i="4"/>
  <c r="E61" i="4" s="1"/>
  <c r="D62" i="4"/>
  <c r="E62" i="4" s="1"/>
  <c r="D58" i="4"/>
  <c r="E58" i="4" s="1"/>
  <c r="E70" i="4"/>
  <c r="E71" i="4"/>
  <c r="E72" i="4"/>
  <c r="E73" i="4"/>
  <c r="E74" i="4"/>
  <c r="D70" i="4"/>
  <c r="D71" i="4"/>
  <c r="D72" i="4"/>
  <c r="D73" i="4"/>
  <c r="D69" i="4"/>
  <c r="E69" i="4" s="1"/>
  <c r="E83" i="4"/>
  <c r="E84" i="4"/>
  <c r="E85" i="4"/>
  <c r="E80" i="4"/>
  <c r="D81" i="4"/>
  <c r="E81" i="4" s="1"/>
  <c r="D82" i="4"/>
  <c r="E82" i="4" s="1"/>
  <c r="D83" i="4"/>
  <c r="D84" i="4"/>
  <c r="D80" i="4"/>
  <c r="E96" i="4"/>
  <c r="D92" i="4"/>
  <c r="E92" i="4" s="1"/>
  <c r="D93" i="4"/>
  <c r="E93" i="4" s="1"/>
  <c r="D94" i="4"/>
  <c r="E94" i="4" s="1"/>
  <c r="D95" i="4"/>
  <c r="E95" i="4" s="1"/>
  <c r="D91" i="4"/>
  <c r="E91" i="4" s="1"/>
  <c r="E103" i="4"/>
  <c r="E104" i="4"/>
  <c r="E105" i="4"/>
  <c r="E106" i="4"/>
  <c r="E107" i="4"/>
  <c r="E102" i="4"/>
  <c r="D103" i="4"/>
  <c r="D104" i="4"/>
  <c r="D105" i="4"/>
  <c r="D106" i="4"/>
  <c r="D102" i="4"/>
  <c r="C107" i="4"/>
  <c r="C96" i="4"/>
  <c r="C85" i="4"/>
  <c r="C74" i="4"/>
  <c r="C63" i="4"/>
  <c r="C52" i="4"/>
  <c r="C41" i="4"/>
  <c r="C30" i="4"/>
  <c r="C19" i="4"/>
  <c r="C8" i="4"/>
  <c r="E4" i="3"/>
  <c r="E5" i="3"/>
  <c r="E6" i="3"/>
  <c r="E7" i="3"/>
  <c r="E8" i="3"/>
  <c r="D4" i="3"/>
  <c r="D5" i="3"/>
  <c r="D6" i="3"/>
  <c r="D7" i="3"/>
  <c r="D3" i="3"/>
  <c r="E3" i="3" s="1"/>
  <c r="E17" i="3"/>
  <c r="E18" i="3"/>
  <c r="E19" i="3"/>
  <c r="E14" i="3"/>
  <c r="D15" i="3"/>
  <c r="E15" i="3" s="1"/>
  <c r="D16" i="3"/>
  <c r="E16" i="3" s="1"/>
  <c r="D17" i="3"/>
  <c r="D18" i="3"/>
  <c r="D14" i="3"/>
  <c r="E30" i="3"/>
  <c r="D26" i="3"/>
  <c r="E26" i="3" s="1"/>
  <c r="D27" i="3"/>
  <c r="E27" i="3" s="1"/>
  <c r="D28" i="3"/>
  <c r="E28" i="3" s="1"/>
  <c r="D29" i="3"/>
  <c r="E29" i="3" s="1"/>
  <c r="D25" i="3"/>
  <c r="E25" i="3" s="1"/>
  <c r="E37" i="3"/>
  <c r="E38" i="3"/>
  <c r="E39" i="3"/>
  <c r="E40" i="3"/>
  <c r="E41" i="3"/>
  <c r="E36" i="3"/>
  <c r="D37" i="3"/>
  <c r="D38" i="3"/>
  <c r="D39" i="3"/>
  <c r="D40" i="3"/>
  <c r="D36" i="3"/>
  <c r="E49" i="3"/>
  <c r="E50" i="3"/>
  <c r="E51" i="3"/>
  <c r="E52" i="3"/>
  <c r="E47" i="3"/>
  <c r="D48" i="3"/>
  <c r="E48" i="3" s="1"/>
  <c r="D49" i="3"/>
  <c r="D50" i="3"/>
  <c r="D51" i="3"/>
  <c r="D47" i="3"/>
  <c r="E63" i="3"/>
  <c r="D59" i="3"/>
  <c r="E59" i="3" s="1"/>
  <c r="D60" i="3"/>
  <c r="E60" i="3" s="1"/>
  <c r="D61" i="3"/>
  <c r="E61" i="3" s="1"/>
  <c r="D62" i="3"/>
  <c r="E62" i="3" s="1"/>
  <c r="D58" i="3"/>
  <c r="E58" i="3" s="1"/>
  <c r="E70" i="3"/>
  <c r="E71" i="3"/>
  <c r="E72" i="3"/>
  <c r="E74" i="3"/>
  <c r="E69" i="3"/>
  <c r="D70" i="3"/>
  <c r="D71" i="3"/>
  <c r="D72" i="3"/>
  <c r="D73" i="3"/>
  <c r="E73" i="3" s="1"/>
  <c r="D69" i="3"/>
  <c r="E81" i="3"/>
  <c r="E82" i="3"/>
  <c r="E83" i="3"/>
  <c r="E84" i="3"/>
  <c r="E85" i="3"/>
  <c r="E80" i="3"/>
  <c r="D81" i="3"/>
  <c r="D82" i="3"/>
  <c r="D83" i="3"/>
  <c r="D84" i="3"/>
  <c r="D80" i="3"/>
  <c r="E96" i="3"/>
  <c r="D92" i="3"/>
  <c r="E92" i="3" s="1"/>
  <c r="D93" i="3"/>
  <c r="E93" i="3" s="1"/>
  <c r="D94" i="3"/>
  <c r="E94" i="3" s="1"/>
  <c r="D95" i="3"/>
  <c r="E95" i="3" s="1"/>
  <c r="D91" i="3"/>
  <c r="E91" i="3" s="1"/>
  <c r="E103" i="3"/>
  <c r="E104" i="3"/>
  <c r="E107" i="3"/>
  <c r="D103" i="3"/>
  <c r="D104" i="3"/>
  <c r="D105" i="3"/>
  <c r="E105" i="3" s="1"/>
  <c r="D106" i="3"/>
  <c r="E106" i="3" s="1"/>
  <c r="D102" i="3"/>
  <c r="E102" i="3" s="1"/>
  <c r="C107" i="3"/>
  <c r="C96" i="3"/>
  <c r="C74" i="3"/>
  <c r="C52" i="3"/>
  <c r="C41" i="3"/>
  <c r="C30" i="3"/>
  <c r="C19" i="3"/>
  <c r="C8" i="3"/>
  <c r="E3" i="2"/>
  <c r="E4" i="2"/>
  <c r="E5" i="2"/>
  <c r="E6" i="2"/>
  <c r="E7" i="2"/>
  <c r="D3" i="2"/>
  <c r="D4" i="2"/>
  <c r="D5" i="2"/>
  <c r="D6" i="2"/>
  <c r="D2" i="2"/>
  <c r="E2" i="2" s="1"/>
  <c r="E15" i="2"/>
  <c r="E16" i="2"/>
  <c r="E17" i="2"/>
  <c r="E12" i="2"/>
  <c r="D13" i="2"/>
  <c r="E13" i="2" s="1"/>
  <c r="D14" i="2"/>
  <c r="E14" i="2" s="1"/>
  <c r="D15" i="2"/>
  <c r="D16" i="2"/>
  <c r="D12" i="2"/>
  <c r="E27" i="2"/>
  <c r="D23" i="2"/>
  <c r="E23" i="2" s="1"/>
  <c r="D24" i="2"/>
  <c r="E24" i="2" s="1"/>
  <c r="D25" i="2"/>
  <c r="E25" i="2" s="1"/>
  <c r="D26" i="2"/>
  <c r="E26" i="2" s="1"/>
  <c r="D22" i="2"/>
  <c r="E22" i="2" s="1"/>
  <c r="E34" i="2"/>
  <c r="E35" i="2"/>
  <c r="E36" i="2"/>
  <c r="E37" i="2"/>
  <c r="E38" i="2"/>
  <c r="E33" i="2"/>
  <c r="D34" i="2"/>
  <c r="D35" i="2"/>
  <c r="D36" i="2"/>
  <c r="D37" i="2"/>
  <c r="D33" i="2"/>
  <c r="E46" i="2"/>
  <c r="E47" i="2"/>
  <c r="E48" i="2"/>
  <c r="E49" i="2"/>
  <c r="E44" i="2"/>
  <c r="D45" i="2"/>
  <c r="E45" i="2" s="1"/>
  <c r="D46" i="2"/>
  <c r="D47" i="2"/>
  <c r="D48" i="2"/>
  <c r="D44" i="2"/>
  <c r="E60" i="2"/>
  <c r="D56" i="2"/>
  <c r="E56" i="2" s="1"/>
  <c r="D57" i="2"/>
  <c r="E57" i="2" s="1"/>
  <c r="D58" i="2"/>
  <c r="E58" i="2" s="1"/>
  <c r="D59" i="2"/>
  <c r="E59" i="2" s="1"/>
  <c r="D55" i="2"/>
  <c r="E55" i="2" s="1"/>
  <c r="E67" i="2"/>
  <c r="E68" i="2"/>
  <c r="E69" i="2"/>
  <c r="E71" i="2"/>
  <c r="E66" i="2"/>
  <c r="D67" i="2"/>
  <c r="D68" i="2"/>
  <c r="D69" i="2"/>
  <c r="D70" i="2"/>
  <c r="E70" i="2" s="1"/>
  <c r="D66" i="2"/>
  <c r="D78" i="2"/>
  <c r="D79" i="2"/>
  <c r="D80" i="2"/>
  <c r="D81" i="2"/>
  <c r="D77" i="2"/>
  <c r="E82" i="2"/>
  <c r="E89" i="2"/>
  <c r="E90" i="2"/>
  <c r="E93" i="2"/>
  <c r="D89" i="2"/>
  <c r="D90" i="2"/>
  <c r="D91" i="2"/>
  <c r="E91" i="2" s="1"/>
  <c r="D92" i="2"/>
  <c r="E92" i="2" s="1"/>
  <c r="D88" i="2"/>
  <c r="E88" i="2" s="1"/>
  <c r="E100" i="2"/>
  <c r="E101" i="2"/>
  <c r="E102" i="2"/>
  <c r="E103" i="2"/>
  <c r="E104" i="2"/>
  <c r="D100" i="2"/>
  <c r="D101" i="2"/>
  <c r="D102" i="2"/>
  <c r="D103" i="2"/>
  <c r="D99" i="2"/>
  <c r="E99" i="2" s="1"/>
  <c r="C104" i="2"/>
  <c r="C93" i="2"/>
  <c r="C82" i="2"/>
  <c r="C71" i="2"/>
  <c r="C60" i="2"/>
  <c r="C38" i="2"/>
  <c r="C27" i="2"/>
  <c r="C17" i="2"/>
  <c r="C7" i="2"/>
  <c r="E4" i="1"/>
  <c r="E8" i="1"/>
  <c r="E3" i="1"/>
  <c r="E15" i="1"/>
  <c r="E19" i="1"/>
  <c r="E26" i="1"/>
  <c r="E29" i="1"/>
  <c r="E30" i="1"/>
  <c r="E25" i="1"/>
  <c r="E37" i="1"/>
  <c r="E40" i="1"/>
  <c r="E41" i="1"/>
  <c r="E52" i="1"/>
  <c r="E61" i="1"/>
  <c r="E62" i="1"/>
  <c r="E63" i="1"/>
  <c r="E58" i="1"/>
  <c r="E72" i="1"/>
  <c r="E74" i="1"/>
  <c r="E85" i="1"/>
  <c r="E93" i="1"/>
  <c r="E94" i="1"/>
  <c r="E95" i="1"/>
  <c r="E96" i="1"/>
  <c r="E91" i="1"/>
  <c r="C107" i="1"/>
  <c r="C96" i="1"/>
  <c r="C85" i="1"/>
  <c r="C74" i="1"/>
  <c r="C63" i="1"/>
  <c r="C52" i="1"/>
  <c r="C41" i="1"/>
  <c r="C30" i="1"/>
  <c r="C19" i="1"/>
  <c r="C8" i="1"/>
  <c r="E104" i="1"/>
  <c r="E105" i="1"/>
  <c r="E106" i="1"/>
  <c r="E107" i="1"/>
  <c r="E102" i="1"/>
  <c r="D103" i="1"/>
  <c r="E103" i="1" s="1"/>
  <c r="D104" i="1"/>
  <c r="D105" i="1"/>
  <c r="D106" i="1"/>
  <c r="D102" i="1"/>
  <c r="D92" i="1"/>
  <c r="E92" i="1" s="1"/>
  <c r="D93" i="1"/>
  <c r="D94" i="1"/>
  <c r="D95" i="1"/>
  <c r="D91" i="1"/>
  <c r="D81" i="1"/>
  <c r="E81" i="1" s="1"/>
  <c r="D82" i="1"/>
  <c r="E82" i="1" s="1"/>
  <c r="D83" i="1"/>
  <c r="E83" i="1" s="1"/>
  <c r="D84" i="1"/>
  <c r="E84" i="1" s="1"/>
  <c r="D80" i="1"/>
  <c r="E80" i="1" s="1"/>
  <c r="D70" i="1"/>
  <c r="E70" i="1" s="1"/>
  <c r="D71" i="1"/>
  <c r="E71" i="1" s="1"/>
  <c r="D72" i="1"/>
  <c r="D73" i="1"/>
  <c r="E73" i="1" s="1"/>
  <c r="D69" i="1"/>
  <c r="E69" i="1" s="1"/>
  <c r="D59" i="1"/>
  <c r="E59" i="1" s="1"/>
  <c r="D60" i="1"/>
  <c r="E60" i="1" s="1"/>
  <c r="D61" i="1"/>
  <c r="D62" i="1"/>
  <c r="D58" i="1"/>
  <c r="D48" i="1"/>
  <c r="E48" i="1" s="1"/>
  <c r="D49" i="1"/>
  <c r="E49" i="1" s="1"/>
  <c r="D50" i="1"/>
  <c r="E50" i="1" s="1"/>
  <c r="D51" i="1"/>
  <c r="E51" i="1" s="1"/>
  <c r="D47" i="1"/>
  <c r="E47" i="1" s="1"/>
  <c r="D37" i="1"/>
  <c r="D38" i="1"/>
  <c r="E38" i="1" s="1"/>
  <c r="D39" i="1"/>
  <c r="E39" i="1" s="1"/>
  <c r="D40" i="1"/>
  <c r="D36" i="1"/>
  <c r="E36" i="1" s="1"/>
  <c r="D26" i="1"/>
  <c r="D27" i="1"/>
  <c r="E27" i="1" s="1"/>
  <c r="D28" i="1"/>
  <c r="E28" i="1" s="1"/>
  <c r="D29" i="1"/>
  <c r="D25" i="1"/>
  <c r="D15" i="1"/>
  <c r="D16" i="1"/>
  <c r="E16" i="1" s="1"/>
  <c r="D17" i="1"/>
  <c r="E17" i="1" s="1"/>
  <c r="D18" i="1"/>
  <c r="E18" i="1" s="1"/>
  <c r="D14" i="1"/>
  <c r="E14" i="1" s="1"/>
  <c r="D4" i="1"/>
  <c r="D5" i="1"/>
  <c r="E5" i="1" s="1"/>
  <c r="D6" i="1"/>
  <c r="E6" i="1" s="1"/>
  <c r="D7" i="1"/>
  <c r="E7" i="1" s="1"/>
  <c r="D3" i="1"/>
  <c r="B64" i="5"/>
  <c r="B53" i="5"/>
  <c r="B42" i="5"/>
  <c r="B31" i="5"/>
  <c r="B20" i="5"/>
  <c r="B9" i="5"/>
  <c r="B108" i="4"/>
  <c r="B97" i="4"/>
  <c r="B86" i="4"/>
  <c r="B75" i="4"/>
  <c r="B64" i="4"/>
  <c r="B53" i="4"/>
  <c r="B42" i="4"/>
  <c r="B31" i="4"/>
  <c r="B20" i="4"/>
  <c r="B9" i="4"/>
  <c r="B108" i="3"/>
  <c r="B97" i="3"/>
  <c r="B86" i="3"/>
  <c r="B75" i="3"/>
  <c r="B64" i="3"/>
  <c r="B53" i="3"/>
  <c r="B42" i="3"/>
  <c r="B31" i="3"/>
  <c r="B20" i="3"/>
  <c r="B9" i="3"/>
  <c r="B105" i="2"/>
  <c r="B94" i="2"/>
  <c r="B83" i="2"/>
  <c r="B72" i="2"/>
  <c r="B61" i="2"/>
  <c r="B50" i="2"/>
  <c r="B39" i="2"/>
  <c r="B28" i="2"/>
  <c r="B18" i="2"/>
  <c r="B8" i="2"/>
  <c r="B108" i="1"/>
  <c r="B97" i="1"/>
  <c r="B86" i="1"/>
  <c r="B75" i="1"/>
  <c r="B64" i="1"/>
  <c r="B53" i="1"/>
  <c r="B42" i="1"/>
  <c r="B31" i="1"/>
  <c r="B20" i="1"/>
  <c r="B9" i="1"/>
  <c r="E79" i="2" l="1"/>
  <c r="E80" i="2"/>
  <c r="E78" i="2"/>
  <c r="E81" i="2"/>
  <c r="E77" i="2"/>
  <c r="E97" i="1"/>
  <c r="G97" i="1" s="1"/>
  <c r="E9" i="1"/>
  <c r="G9" i="1" s="1"/>
  <c r="B11" i="6"/>
  <c r="E53" i="1"/>
  <c r="G53" i="1" s="1"/>
  <c r="B6" i="6" s="1"/>
  <c r="E28" i="2"/>
  <c r="G28" i="2" s="1"/>
  <c r="C4" i="6" s="1"/>
  <c r="B2" i="6"/>
  <c r="E42" i="1"/>
  <c r="G42" i="1" s="1"/>
  <c r="E86" i="1"/>
  <c r="G86" i="1" s="1"/>
  <c r="B10" i="6"/>
  <c r="E18" i="2"/>
  <c r="G18" i="2" s="1"/>
  <c r="C3" i="6" s="1"/>
  <c r="E61" i="2"/>
  <c r="G61" i="2" s="1"/>
  <c r="C7" i="6" s="1"/>
  <c r="E20" i="3"/>
  <c r="G20" i="3" s="1"/>
  <c r="D3" i="6" s="1"/>
  <c r="E108" i="3"/>
  <c r="G108" i="3" s="1"/>
  <c r="D11" i="6" s="1"/>
  <c r="E86" i="4"/>
  <c r="G86" i="4" s="1"/>
  <c r="E64" i="5"/>
  <c r="G64" i="5" s="1"/>
  <c r="F7" i="6" s="1"/>
  <c r="E8" i="2"/>
  <c r="G8" i="2" s="1"/>
  <c r="E50" i="2"/>
  <c r="G50" i="2" s="1"/>
  <c r="E83" i="2"/>
  <c r="G83" i="2" s="1"/>
  <c r="C9" i="6" s="1"/>
  <c r="E31" i="1"/>
  <c r="G31" i="1" s="1"/>
  <c r="B5" i="6"/>
  <c r="E75" i="1"/>
  <c r="G75" i="1" s="1"/>
  <c r="B8" i="6" s="1"/>
  <c r="B9" i="6"/>
  <c r="E20" i="1"/>
  <c r="G20" i="1" s="1"/>
  <c r="B3" i="6" s="1"/>
  <c r="B4" i="6"/>
  <c r="E64" i="1"/>
  <c r="G64" i="1" s="1"/>
  <c r="B7" i="6" s="1"/>
  <c r="E108" i="1"/>
  <c r="G108" i="1" s="1"/>
  <c r="C2" i="6"/>
  <c r="E39" i="2"/>
  <c r="G39" i="2" s="1"/>
  <c r="C5" i="6" s="1"/>
  <c r="C6" i="6"/>
  <c r="E72" i="2"/>
  <c r="G72" i="2" s="1"/>
  <c r="C8" i="6" s="1"/>
  <c r="E64" i="3"/>
  <c r="G64" i="3" s="1"/>
  <c r="E42" i="4"/>
  <c r="G42" i="4" s="1"/>
  <c r="E20" i="5"/>
  <c r="G20" i="5" s="1"/>
  <c r="F3" i="6" s="1"/>
  <c r="E9" i="3"/>
  <c r="G9" i="3" s="1"/>
  <c r="E53" i="3"/>
  <c r="G53" i="3" s="1"/>
  <c r="D6" i="6" s="1"/>
  <c r="D7" i="6"/>
  <c r="E97" i="3"/>
  <c r="G97" i="3" s="1"/>
  <c r="D10" i="6" s="1"/>
  <c r="E31" i="4"/>
  <c r="G31" i="4" s="1"/>
  <c r="E4" i="6" s="1"/>
  <c r="E5" i="6"/>
  <c r="E75" i="4"/>
  <c r="G75" i="4" s="1"/>
  <c r="E9" i="6"/>
  <c r="E9" i="5"/>
  <c r="G9" i="5" s="1"/>
  <c r="E53" i="5"/>
  <c r="G53" i="5" s="1"/>
  <c r="F6" i="6" s="1"/>
  <c r="E105" i="2"/>
  <c r="G105" i="2" s="1"/>
  <c r="C11" i="6" s="1"/>
  <c r="D2" i="6"/>
  <c r="E42" i="3"/>
  <c r="G42" i="3" s="1"/>
  <c r="D5" i="6" s="1"/>
  <c r="E86" i="3"/>
  <c r="G86" i="3" s="1"/>
  <c r="D9" i="6" s="1"/>
  <c r="E20" i="4"/>
  <c r="G20" i="4" s="1"/>
  <c r="E3" i="6" s="1"/>
  <c r="E64" i="4"/>
  <c r="G64" i="4" s="1"/>
  <c r="E8" i="6"/>
  <c r="E108" i="4"/>
  <c r="G108" i="4" s="1"/>
  <c r="F2" i="6"/>
  <c r="E42" i="5"/>
  <c r="G42" i="5" s="1"/>
  <c r="F5" i="6" s="1"/>
  <c r="E94" i="2"/>
  <c r="G94" i="2" s="1"/>
  <c r="C10" i="6" s="1"/>
  <c r="E31" i="3"/>
  <c r="G31" i="3" s="1"/>
  <c r="D4" i="6" s="1"/>
  <c r="E75" i="3"/>
  <c r="G75" i="3" s="1"/>
  <c r="D8" i="6" s="1"/>
  <c r="E9" i="4"/>
  <c r="G9" i="4" s="1"/>
  <c r="E2" i="6" s="1"/>
  <c r="E53" i="4"/>
  <c r="G53" i="4" s="1"/>
  <c r="E6" i="6" s="1"/>
  <c r="E7" i="6"/>
  <c r="E97" i="4"/>
  <c r="G97" i="4" s="1"/>
  <c r="E10" i="6" s="1"/>
  <c r="E11" i="6"/>
  <c r="E31" i="5"/>
  <c r="G31" i="5" s="1"/>
  <c r="F4" i="6" s="1"/>
  <c r="C49" i="2"/>
  <c r="C85" i="3"/>
  <c r="C63" i="3"/>
</calcChain>
</file>

<file path=xl/sharedStrings.xml><?xml version="1.0" encoding="utf-8"?>
<sst xmlns="http://schemas.openxmlformats.org/spreadsheetml/2006/main" count="657" uniqueCount="31">
  <si>
    <t>Joselin</t>
  </si>
  <si>
    <t>Variable</t>
  </si>
  <si>
    <t>(a) Peso</t>
  </si>
  <si>
    <t>(b) Puntuacion</t>
  </si>
  <si>
    <t>(c) Puntuacion Convertida (b*5)</t>
  </si>
  <si>
    <t>(d) Puntuacion Ponderada (c*a)</t>
  </si>
  <si>
    <t>Exigencia mental</t>
  </si>
  <si>
    <t>Exigencia fisica</t>
  </si>
  <si>
    <t>Exigencia Temporal</t>
  </si>
  <si>
    <t>Rendimiento</t>
  </si>
  <si>
    <t>Esfuerzo</t>
  </si>
  <si>
    <t>Frustacion</t>
  </si>
  <si>
    <t>Total</t>
  </si>
  <si>
    <t>Porcentaje:</t>
  </si>
  <si>
    <t>Daniel</t>
  </si>
  <si>
    <t>Edwin</t>
  </si>
  <si>
    <t>Jeronimo</t>
  </si>
  <si>
    <t>Rafa</t>
  </si>
  <si>
    <t>Eliza</t>
  </si>
  <si>
    <t>Participante #7</t>
  </si>
  <si>
    <t>Participante #8</t>
  </si>
  <si>
    <t>Participante #9</t>
  </si>
  <si>
    <t>Participante #10</t>
  </si>
  <si>
    <t>Paricipante #10</t>
  </si>
  <si>
    <t>Persona</t>
  </si>
  <si>
    <t>% Carga cognitiva</t>
  </si>
  <si>
    <t>% CaniQuest Haptico</t>
  </si>
  <si>
    <t>%CaniQuest Gamepad</t>
  </si>
  <si>
    <t>%CaniQuest  Teclado</t>
  </si>
  <si>
    <t>%Laberinto</t>
  </si>
  <si>
    <t xml:space="preserve">Rafa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</si>
</sst>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4"/>
  <sheetViews>
    <sheetView zoomScale="55" zoomScaleNormal="55" workbookViewId="0">
      <selection activeCell="E3" sqref="E3"/>
    </sheetView>
  </sheetViews>
  <sheetFormatPr defaultColWidth="12.54296875" defaultRowHeight="15.75" customHeight="1" x14ac:dyDescent="0.25"/>
  <cols>
    <col min="1" max="1" width="18.1796875" customWidth="1"/>
    <col min="2" max="2" width="17.26953125" customWidth="1"/>
    <col min="3" max="3" width="16.81640625" customWidth="1"/>
    <col min="4" max="4" width="25" customWidth="1"/>
    <col min="5" max="5" width="25.1796875" customWidth="1"/>
  </cols>
  <sheetData>
    <row r="1" spans="1:7" ht="12.5" x14ac:dyDescent="0.25">
      <c r="A1" s="1" t="s">
        <v>0</v>
      </c>
    </row>
    <row r="2" spans="1:7" ht="12.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</row>
    <row r="3" spans="1:7" ht="12.5" x14ac:dyDescent="0.25">
      <c r="A3" s="2" t="s">
        <v>6</v>
      </c>
      <c r="B3" s="3">
        <v>4</v>
      </c>
      <c r="C3" s="3">
        <v>10</v>
      </c>
      <c r="D3" s="3">
        <f>PRODUCT(C3,5)</f>
        <v>50</v>
      </c>
      <c r="E3" s="3">
        <f>PRODUCT(B3,D3)</f>
        <v>200</v>
      </c>
      <c r="F3" s="2"/>
      <c r="G3" s="2"/>
    </row>
    <row r="4" spans="1:7" ht="12.5" x14ac:dyDescent="0.25">
      <c r="A4" s="2" t="s">
        <v>7</v>
      </c>
      <c r="B4" s="3">
        <v>0</v>
      </c>
      <c r="C4" s="3">
        <v>1</v>
      </c>
      <c r="D4" s="3">
        <f t="shared" ref="D4:D7" si="0">PRODUCT(C4,5)</f>
        <v>5</v>
      </c>
      <c r="E4" s="3">
        <f t="shared" ref="E4:E8" si="1">PRODUCT(B4,D4)</f>
        <v>0</v>
      </c>
      <c r="F4" s="2"/>
      <c r="G4" s="2"/>
    </row>
    <row r="5" spans="1:7" ht="12.5" x14ac:dyDescent="0.25">
      <c r="A5" s="2" t="s">
        <v>8</v>
      </c>
      <c r="B5" s="3">
        <v>2</v>
      </c>
      <c r="C5" s="3">
        <v>15</v>
      </c>
      <c r="D5" s="3">
        <f t="shared" si="0"/>
        <v>75</v>
      </c>
      <c r="E5" s="3">
        <f t="shared" si="1"/>
        <v>150</v>
      </c>
      <c r="F5" s="2"/>
      <c r="G5" s="2"/>
    </row>
    <row r="6" spans="1:7" ht="12.5" x14ac:dyDescent="0.25">
      <c r="A6" s="2" t="s">
        <v>9</v>
      </c>
      <c r="B6" s="3">
        <v>3</v>
      </c>
      <c r="C6" s="3">
        <v>15</v>
      </c>
      <c r="D6" s="3">
        <f t="shared" si="0"/>
        <v>75</v>
      </c>
      <c r="E6" s="3">
        <f t="shared" si="1"/>
        <v>225</v>
      </c>
      <c r="F6" s="2"/>
      <c r="G6" s="2"/>
    </row>
    <row r="7" spans="1:7" ht="12.5" x14ac:dyDescent="0.25">
      <c r="A7" s="2" t="s">
        <v>10</v>
      </c>
      <c r="B7" s="3">
        <v>4</v>
      </c>
      <c r="C7" s="3">
        <v>5</v>
      </c>
      <c r="D7" s="3">
        <f t="shared" si="0"/>
        <v>25</v>
      </c>
      <c r="E7" s="3">
        <f t="shared" si="1"/>
        <v>100</v>
      </c>
      <c r="F7" s="2"/>
      <c r="G7" s="2"/>
    </row>
    <row r="8" spans="1:7" ht="12.5" x14ac:dyDescent="0.25">
      <c r="A8" s="2" t="s">
        <v>11</v>
      </c>
      <c r="B8" s="3">
        <v>2</v>
      </c>
      <c r="C8" s="3">
        <f>D8/5</f>
        <v>4</v>
      </c>
      <c r="D8" s="3">
        <v>20</v>
      </c>
      <c r="E8" s="3">
        <f t="shared" si="1"/>
        <v>40</v>
      </c>
      <c r="F8" s="2"/>
      <c r="G8" s="2"/>
    </row>
    <row r="9" spans="1:7" ht="12.5" x14ac:dyDescent="0.25">
      <c r="A9" s="2" t="s">
        <v>12</v>
      </c>
      <c r="B9" s="3">
        <f>SUM(B3,B4,B5,B6,B7,B8)</f>
        <v>15</v>
      </c>
      <c r="C9" s="2"/>
      <c r="D9" s="2"/>
      <c r="E9" s="3">
        <f>SUM(E3:E8)</f>
        <v>715</v>
      </c>
      <c r="F9" s="2" t="s">
        <v>13</v>
      </c>
      <c r="G9" s="3">
        <f>E9/B9</f>
        <v>47.666666666666664</v>
      </c>
    </row>
    <row r="10" spans="1:7" ht="12.5" x14ac:dyDescent="0.25">
      <c r="A10" s="2"/>
      <c r="B10" s="2"/>
      <c r="C10" s="2"/>
      <c r="D10" s="2"/>
      <c r="E10" s="2"/>
      <c r="F10" s="2"/>
      <c r="G10" s="3"/>
    </row>
    <row r="11" spans="1:7" ht="12.5" x14ac:dyDescent="0.25">
      <c r="A11" s="2" t="s">
        <v>14</v>
      </c>
      <c r="B11" s="2"/>
      <c r="C11" s="2"/>
      <c r="D11" s="2"/>
      <c r="E11" s="2"/>
      <c r="F11" s="2"/>
      <c r="G11" s="3"/>
    </row>
    <row r="12" spans="1:7" ht="12.5" x14ac:dyDescent="0.25">
      <c r="A12" s="2"/>
      <c r="B12" s="2"/>
      <c r="C12" s="2"/>
      <c r="D12" s="2"/>
      <c r="E12" s="2"/>
      <c r="F12" s="2"/>
      <c r="G12" s="3"/>
    </row>
    <row r="13" spans="1:7" ht="12.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/>
      <c r="G13" s="3"/>
    </row>
    <row r="14" spans="1:7" ht="12.5" x14ac:dyDescent="0.25">
      <c r="A14" s="2" t="s">
        <v>6</v>
      </c>
      <c r="B14" s="3">
        <v>5</v>
      </c>
      <c r="C14" s="3">
        <v>16</v>
      </c>
      <c r="D14" s="3">
        <f>PRODUCT(C14,5)</f>
        <v>80</v>
      </c>
      <c r="E14" s="3">
        <f>PRODUCT(B14,D14)</f>
        <v>400</v>
      </c>
      <c r="F14" s="2"/>
      <c r="G14" s="3"/>
    </row>
    <row r="15" spans="1:7" ht="12.5" x14ac:dyDescent="0.25">
      <c r="A15" s="2" t="s">
        <v>7</v>
      </c>
      <c r="B15" s="3">
        <v>0</v>
      </c>
      <c r="C15" s="3">
        <v>2</v>
      </c>
      <c r="D15" s="3">
        <f t="shared" ref="D15:D18" si="2">PRODUCT(C15,5)</f>
        <v>10</v>
      </c>
      <c r="E15" s="3">
        <f t="shared" ref="E15:E19" si="3">PRODUCT(B15,D15)</f>
        <v>0</v>
      </c>
      <c r="F15" s="2"/>
      <c r="G15" s="3"/>
    </row>
    <row r="16" spans="1:7" ht="12.5" x14ac:dyDescent="0.25">
      <c r="A16" s="2" t="s">
        <v>8</v>
      </c>
      <c r="B16" s="3">
        <v>1</v>
      </c>
      <c r="C16" s="3">
        <v>5</v>
      </c>
      <c r="D16" s="3">
        <f t="shared" si="2"/>
        <v>25</v>
      </c>
      <c r="E16" s="3">
        <f t="shared" si="3"/>
        <v>25</v>
      </c>
      <c r="F16" s="2"/>
      <c r="G16" s="3"/>
    </row>
    <row r="17" spans="1:7" ht="12.5" x14ac:dyDescent="0.25">
      <c r="A17" s="2" t="s">
        <v>9</v>
      </c>
      <c r="B17" s="3">
        <v>4</v>
      </c>
      <c r="C17" s="3">
        <v>14</v>
      </c>
      <c r="D17" s="3">
        <f t="shared" si="2"/>
        <v>70</v>
      </c>
      <c r="E17" s="3">
        <f t="shared" si="3"/>
        <v>280</v>
      </c>
      <c r="F17" s="2"/>
      <c r="G17" s="3"/>
    </row>
    <row r="18" spans="1:7" ht="12.5" x14ac:dyDescent="0.25">
      <c r="A18" s="2" t="s">
        <v>10</v>
      </c>
      <c r="B18" s="3">
        <v>3</v>
      </c>
      <c r="C18" s="3">
        <v>13</v>
      </c>
      <c r="D18" s="3">
        <f t="shared" si="2"/>
        <v>65</v>
      </c>
      <c r="E18" s="3">
        <f t="shared" si="3"/>
        <v>195</v>
      </c>
      <c r="F18" s="2"/>
      <c r="G18" s="3"/>
    </row>
    <row r="19" spans="1:7" ht="12.5" x14ac:dyDescent="0.25">
      <c r="A19" s="2" t="s">
        <v>11</v>
      </c>
      <c r="B19" s="3">
        <v>2</v>
      </c>
      <c r="C19" s="3">
        <f>D19/5</f>
        <v>6</v>
      </c>
      <c r="D19" s="3">
        <v>30</v>
      </c>
      <c r="E19" s="3">
        <f t="shared" si="3"/>
        <v>60</v>
      </c>
      <c r="F19" s="2"/>
      <c r="G19" s="3"/>
    </row>
    <row r="20" spans="1:7" ht="12.5" x14ac:dyDescent="0.25">
      <c r="A20" s="2" t="s">
        <v>12</v>
      </c>
      <c r="B20" s="3">
        <f>SUM(B14,B15,B16,B17,B18,B19)</f>
        <v>15</v>
      </c>
      <c r="C20" s="2"/>
      <c r="D20" s="2"/>
      <c r="E20" s="3">
        <f>SUM(E14:E19)</f>
        <v>960</v>
      </c>
      <c r="F20" s="2" t="s">
        <v>13</v>
      </c>
      <c r="G20" s="3">
        <f t="shared" ref="G20:G64" si="4">E20/B20</f>
        <v>64</v>
      </c>
    </row>
    <row r="21" spans="1:7" ht="12.5" x14ac:dyDescent="0.25">
      <c r="A21" s="2"/>
      <c r="B21" s="2"/>
      <c r="C21" s="2"/>
      <c r="D21" s="2"/>
      <c r="E21" s="2"/>
      <c r="F21" s="2"/>
      <c r="G21" s="3"/>
    </row>
    <row r="22" spans="1:7" ht="12.5" x14ac:dyDescent="0.25">
      <c r="A22" s="2" t="s">
        <v>15</v>
      </c>
      <c r="B22" s="2"/>
      <c r="C22" s="2"/>
      <c r="D22" s="2"/>
      <c r="E22" s="2"/>
      <c r="F22" s="2"/>
      <c r="G22" s="3"/>
    </row>
    <row r="23" spans="1:7" ht="12.5" x14ac:dyDescent="0.25">
      <c r="A23" s="2"/>
      <c r="B23" s="2"/>
      <c r="C23" s="2"/>
      <c r="D23" s="2"/>
      <c r="E23" s="2"/>
      <c r="F23" s="2"/>
      <c r="G23" s="3"/>
    </row>
    <row r="24" spans="1:7" ht="12.5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/>
      <c r="G24" s="3"/>
    </row>
    <row r="25" spans="1:7" ht="12.5" x14ac:dyDescent="0.25">
      <c r="A25" s="2" t="s">
        <v>6</v>
      </c>
      <c r="B25" s="3">
        <v>3</v>
      </c>
      <c r="C25" s="3">
        <v>12</v>
      </c>
      <c r="D25" s="3">
        <f>PRODUCT(C25,5)</f>
        <v>60</v>
      </c>
      <c r="E25" s="3">
        <f>PRODUCT(B25,D25)</f>
        <v>180</v>
      </c>
      <c r="F25" s="2"/>
      <c r="G25" s="3"/>
    </row>
    <row r="26" spans="1:7" ht="12.5" x14ac:dyDescent="0.25">
      <c r="A26" s="2" t="s">
        <v>7</v>
      </c>
      <c r="B26" s="3">
        <v>0</v>
      </c>
      <c r="C26" s="3">
        <v>2</v>
      </c>
      <c r="D26" s="3">
        <f t="shared" ref="D26:D29" si="5">PRODUCT(C26,5)</f>
        <v>10</v>
      </c>
      <c r="E26" s="3">
        <f t="shared" ref="E26:E30" si="6">PRODUCT(B26,D26)</f>
        <v>0</v>
      </c>
      <c r="F26" s="2"/>
      <c r="G26" s="3"/>
    </row>
    <row r="27" spans="1:7" ht="12.5" x14ac:dyDescent="0.25">
      <c r="A27" s="2" t="s">
        <v>8</v>
      </c>
      <c r="B27" s="3">
        <v>4</v>
      </c>
      <c r="C27" s="3">
        <v>8</v>
      </c>
      <c r="D27" s="3">
        <f t="shared" si="5"/>
        <v>40</v>
      </c>
      <c r="E27" s="3">
        <f t="shared" si="6"/>
        <v>160</v>
      </c>
      <c r="F27" s="2"/>
      <c r="G27" s="3"/>
    </row>
    <row r="28" spans="1:7" ht="12.5" x14ac:dyDescent="0.25">
      <c r="A28" s="2" t="s">
        <v>9</v>
      </c>
      <c r="B28" s="3">
        <v>2</v>
      </c>
      <c r="C28" s="3">
        <v>10</v>
      </c>
      <c r="D28" s="3">
        <f t="shared" si="5"/>
        <v>50</v>
      </c>
      <c r="E28" s="3">
        <f t="shared" si="6"/>
        <v>100</v>
      </c>
      <c r="F28" s="2"/>
      <c r="G28" s="3"/>
    </row>
    <row r="29" spans="1:7" ht="12.5" x14ac:dyDescent="0.25">
      <c r="A29" s="2" t="s">
        <v>10</v>
      </c>
      <c r="B29" s="3">
        <v>1</v>
      </c>
      <c r="C29" s="3">
        <v>3</v>
      </c>
      <c r="D29" s="3">
        <f t="shared" si="5"/>
        <v>15</v>
      </c>
      <c r="E29" s="3">
        <f t="shared" si="6"/>
        <v>15</v>
      </c>
      <c r="F29" s="2"/>
      <c r="G29" s="3"/>
    </row>
    <row r="30" spans="1:7" ht="12.5" x14ac:dyDescent="0.25">
      <c r="A30" s="2" t="s">
        <v>11</v>
      </c>
      <c r="B30" s="3">
        <v>5</v>
      </c>
      <c r="C30" s="3">
        <f>D30/5</f>
        <v>16</v>
      </c>
      <c r="D30" s="3">
        <v>80</v>
      </c>
      <c r="E30" s="3">
        <f t="shared" si="6"/>
        <v>400</v>
      </c>
      <c r="F30" s="2"/>
      <c r="G30" s="3"/>
    </row>
    <row r="31" spans="1:7" ht="12.5" x14ac:dyDescent="0.25">
      <c r="A31" s="2" t="s">
        <v>12</v>
      </c>
      <c r="B31" s="3">
        <f>SUM(B25,B26,B27,B28,B29,B30)</f>
        <v>15</v>
      </c>
      <c r="C31" s="2"/>
      <c r="D31" s="2"/>
      <c r="E31" s="3">
        <f>SUM(E25:E30)</f>
        <v>855</v>
      </c>
      <c r="F31" s="2" t="s">
        <v>13</v>
      </c>
      <c r="G31" s="3">
        <f t="shared" si="4"/>
        <v>57</v>
      </c>
    </row>
    <row r="32" spans="1:7" ht="15.75" customHeight="1" x14ac:dyDescent="0.25">
      <c r="G32" s="3"/>
    </row>
    <row r="33" spans="1:7" ht="12.5" x14ac:dyDescent="0.25">
      <c r="A33" s="1" t="s">
        <v>16</v>
      </c>
      <c r="G33" s="3"/>
    </row>
    <row r="34" spans="1:7" ht="15.75" customHeight="1" x14ac:dyDescent="0.25">
      <c r="G34" s="3"/>
    </row>
    <row r="35" spans="1:7" ht="12.5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/>
      <c r="G35" s="3"/>
    </row>
    <row r="36" spans="1:7" ht="12.5" x14ac:dyDescent="0.25">
      <c r="A36" s="2" t="s">
        <v>6</v>
      </c>
      <c r="B36" s="3">
        <v>2</v>
      </c>
      <c r="C36" s="3">
        <v>1</v>
      </c>
      <c r="D36" s="3">
        <f>PRODUCT(C36,5)</f>
        <v>5</v>
      </c>
      <c r="E36" s="3">
        <f>PRODUCT(B36,D36)</f>
        <v>10</v>
      </c>
      <c r="F36" s="2"/>
      <c r="G36" s="3"/>
    </row>
    <row r="37" spans="1:7" ht="12.5" x14ac:dyDescent="0.25">
      <c r="A37" s="2" t="s">
        <v>7</v>
      </c>
      <c r="B37" s="3">
        <v>1</v>
      </c>
      <c r="C37" s="3">
        <v>1</v>
      </c>
      <c r="D37" s="3">
        <f t="shared" ref="D37:D40" si="7">PRODUCT(C37,5)</f>
        <v>5</v>
      </c>
      <c r="E37" s="3">
        <f t="shared" ref="E37:E41" si="8">PRODUCT(B37,D37)</f>
        <v>5</v>
      </c>
      <c r="F37" s="2"/>
      <c r="G37" s="3"/>
    </row>
    <row r="38" spans="1:7" ht="12.5" x14ac:dyDescent="0.25">
      <c r="A38" s="2" t="s">
        <v>8</v>
      </c>
      <c r="B38" s="3">
        <v>4</v>
      </c>
      <c r="C38" s="3">
        <v>10</v>
      </c>
      <c r="D38" s="3">
        <f t="shared" si="7"/>
        <v>50</v>
      </c>
      <c r="E38" s="3">
        <f t="shared" si="8"/>
        <v>200</v>
      </c>
      <c r="F38" s="2"/>
      <c r="G38" s="3"/>
    </row>
    <row r="39" spans="1:7" ht="12.5" x14ac:dyDescent="0.25">
      <c r="A39" s="2" t="s">
        <v>9</v>
      </c>
      <c r="B39" s="3">
        <v>5</v>
      </c>
      <c r="C39" s="3">
        <v>15</v>
      </c>
      <c r="D39" s="3">
        <f t="shared" si="7"/>
        <v>75</v>
      </c>
      <c r="E39" s="3">
        <f t="shared" si="8"/>
        <v>375</v>
      </c>
      <c r="F39" s="2"/>
      <c r="G39" s="3"/>
    </row>
    <row r="40" spans="1:7" ht="12.5" x14ac:dyDescent="0.25">
      <c r="A40" s="2" t="s">
        <v>10</v>
      </c>
      <c r="B40" s="3">
        <v>3</v>
      </c>
      <c r="C40" s="3">
        <v>7</v>
      </c>
      <c r="D40" s="3">
        <f t="shared" si="7"/>
        <v>35</v>
      </c>
      <c r="E40" s="3">
        <f t="shared" si="8"/>
        <v>105</v>
      </c>
      <c r="F40" s="2"/>
      <c r="G40" s="3"/>
    </row>
    <row r="41" spans="1:7" ht="12.5" x14ac:dyDescent="0.25">
      <c r="A41" s="2" t="s">
        <v>11</v>
      </c>
      <c r="B41" s="3">
        <v>0</v>
      </c>
      <c r="C41" s="3">
        <f>D41/5</f>
        <v>5</v>
      </c>
      <c r="D41" s="3">
        <v>25</v>
      </c>
      <c r="E41" s="3">
        <f t="shared" si="8"/>
        <v>0</v>
      </c>
      <c r="F41" s="2"/>
      <c r="G41" s="3"/>
    </row>
    <row r="42" spans="1:7" ht="12.5" x14ac:dyDescent="0.25">
      <c r="A42" s="2" t="s">
        <v>12</v>
      </c>
      <c r="B42" s="3">
        <f>SUM(B36,B37,B38,B39,B40,B41)</f>
        <v>15</v>
      </c>
      <c r="C42" s="2"/>
      <c r="D42" s="2"/>
      <c r="E42" s="3">
        <f>SUM(E36:E41)</f>
        <v>695</v>
      </c>
      <c r="F42" s="2" t="s">
        <v>13</v>
      </c>
      <c r="G42" s="3">
        <f t="shared" si="4"/>
        <v>46.333333333333336</v>
      </c>
    </row>
    <row r="43" spans="1:7" ht="15.75" customHeight="1" x14ac:dyDescent="0.25">
      <c r="G43" s="3"/>
    </row>
    <row r="44" spans="1:7" ht="12.5" x14ac:dyDescent="0.25">
      <c r="A44" s="1" t="s">
        <v>17</v>
      </c>
      <c r="G44" s="3"/>
    </row>
    <row r="45" spans="1:7" ht="15.75" customHeight="1" x14ac:dyDescent="0.25">
      <c r="G45" s="3"/>
    </row>
    <row r="46" spans="1:7" ht="12.5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/>
      <c r="G46" s="3"/>
    </row>
    <row r="47" spans="1:7" ht="12.5" x14ac:dyDescent="0.25">
      <c r="A47" s="2" t="s">
        <v>6</v>
      </c>
      <c r="B47" s="3">
        <v>5</v>
      </c>
      <c r="C47" s="3">
        <v>9</v>
      </c>
      <c r="D47" s="3">
        <f>PRODUCT(C47,5)</f>
        <v>45</v>
      </c>
      <c r="E47" s="3">
        <f>PRODUCT(B47,D47)</f>
        <v>225</v>
      </c>
      <c r="F47" s="2"/>
      <c r="G47" s="3"/>
    </row>
    <row r="48" spans="1:7" ht="12.5" x14ac:dyDescent="0.25">
      <c r="A48" s="2" t="s">
        <v>7</v>
      </c>
      <c r="B48" s="3">
        <v>1</v>
      </c>
      <c r="C48" s="3">
        <v>3</v>
      </c>
      <c r="D48" s="3">
        <f t="shared" ref="D48:D51" si="9">PRODUCT(C48,5)</f>
        <v>15</v>
      </c>
      <c r="E48" s="3">
        <f t="shared" ref="E48:E52" si="10">PRODUCT(B48,D48)</f>
        <v>15</v>
      </c>
      <c r="F48" s="2"/>
      <c r="G48" s="3"/>
    </row>
    <row r="49" spans="1:7" ht="12.5" x14ac:dyDescent="0.25">
      <c r="A49" s="2" t="s">
        <v>8</v>
      </c>
      <c r="B49" s="3">
        <v>1</v>
      </c>
      <c r="C49" s="3">
        <v>9</v>
      </c>
      <c r="D49" s="3">
        <f t="shared" si="9"/>
        <v>45</v>
      </c>
      <c r="E49" s="3">
        <f t="shared" si="10"/>
        <v>45</v>
      </c>
      <c r="F49" s="2"/>
      <c r="G49" s="3"/>
    </row>
    <row r="50" spans="1:7" ht="12.5" x14ac:dyDescent="0.25">
      <c r="A50" s="2" t="s">
        <v>9</v>
      </c>
      <c r="B50" s="3">
        <v>4</v>
      </c>
      <c r="C50" s="3">
        <v>16</v>
      </c>
      <c r="D50" s="3">
        <f t="shared" si="9"/>
        <v>80</v>
      </c>
      <c r="E50" s="3">
        <f t="shared" si="10"/>
        <v>320</v>
      </c>
      <c r="F50" s="2"/>
      <c r="G50" s="3"/>
    </row>
    <row r="51" spans="1:7" ht="12.5" x14ac:dyDescent="0.25">
      <c r="A51" s="2" t="s">
        <v>10</v>
      </c>
      <c r="B51" s="3">
        <v>3</v>
      </c>
      <c r="C51" s="3">
        <v>7</v>
      </c>
      <c r="D51" s="3">
        <f t="shared" si="9"/>
        <v>35</v>
      </c>
      <c r="E51" s="3">
        <f t="shared" si="10"/>
        <v>105</v>
      </c>
      <c r="F51" s="2"/>
      <c r="G51" s="3"/>
    </row>
    <row r="52" spans="1:7" ht="12.5" x14ac:dyDescent="0.25">
      <c r="A52" s="2" t="s">
        <v>11</v>
      </c>
      <c r="B52" s="3">
        <v>1</v>
      </c>
      <c r="C52" s="3">
        <f>D52/5</f>
        <v>3</v>
      </c>
      <c r="D52" s="3">
        <v>15</v>
      </c>
      <c r="E52" s="3">
        <f t="shared" si="10"/>
        <v>15</v>
      </c>
      <c r="F52" s="2"/>
      <c r="G52" s="3"/>
    </row>
    <row r="53" spans="1:7" ht="12.5" x14ac:dyDescent="0.25">
      <c r="A53" s="2" t="s">
        <v>12</v>
      </c>
      <c r="B53" s="3">
        <f>SUM(B47,B48,B49,B50,B51,B52)</f>
        <v>15</v>
      </c>
      <c r="C53" s="2"/>
      <c r="D53" s="2"/>
      <c r="E53" s="3">
        <f>SUM(E47:E52)</f>
        <v>725</v>
      </c>
      <c r="F53" s="2" t="s">
        <v>13</v>
      </c>
      <c r="G53" s="3">
        <f t="shared" si="4"/>
        <v>48.333333333333336</v>
      </c>
    </row>
    <row r="54" spans="1:7" ht="15.75" customHeight="1" x14ac:dyDescent="0.25">
      <c r="G54" s="3"/>
    </row>
    <row r="55" spans="1:7" ht="12.5" x14ac:dyDescent="0.25">
      <c r="A55" s="1" t="s">
        <v>18</v>
      </c>
      <c r="G55" s="3"/>
    </row>
    <row r="56" spans="1:7" ht="15.75" customHeight="1" x14ac:dyDescent="0.25">
      <c r="G56" s="3"/>
    </row>
    <row r="57" spans="1:7" ht="12.5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/>
      <c r="G57" s="3"/>
    </row>
    <row r="58" spans="1:7" ht="12.5" x14ac:dyDescent="0.25">
      <c r="A58" s="2" t="s">
        <v>6</v>
      </c>
      <c r="B58" s="3">
        <v>4</v>
      </c>
      <c r="C58" s="3">
        <v>13</v>
      </c>
      <c r="D58" s="3">
        <f>PRODUCT(C58,5)</f>
        <v>65</v>
      </c>
      <c r="E58" s="3">
        <f>PRODUCT(B58,D58)</f>
        <v>260</v>
      </c>
      <c r="F58" s="2"/>
      <c r="G58" s="3"/>
    </row>
    <row r="59" spans="1:7" ht="12.5" x14ac:dyDescent="0.25">
      <c r="A59" s="2" t="s">
        <v>7</v>
      </c>
      <c r="B59" s="3">
        <v>0</v>
      </c>
      <c r="C59" s="3">
        <v>5</v>
      </c>
      <c r="D59" s="3">
        <f t="shared" ref="D59:D62" si="11">PRODUCT(C59,5)</f>
        <v>25</v>
      </c>
      <c r="E59" s="3">
        <f t="shared" ref="E59:E63" si="12">PRODUCT(B59,D59)</f>
        <v>0</v>
      </c>
      <c r="F59" s="2"/>
      <c r="G59" s="3"/>
    </row>
    <row r="60" spans="1:7" ht="12.5" x14ac:dyDescent="0.25">
      <c r="A60" s="2" t="s">
        <v>8</v>
      </c>
      <c r="B60" s="3">
        <v>4</v>
      </c>
      <c r="C60" s="3">
        <v>10</v>
      </c>
      <c r="D60" s="3">
        <f t="shared" si="11"/>
        <v>50</v>
      </c>
      <c r="E60" s="3">
        <f t="shared" si="12"/>
        <v>200</v>
      </c>
      <c r="F60" s="2"/>
      <c r="G60" s="3"/>
    </row>
    <row r="61" spans="1:7" ht="12.5" x14ac:dyDescent="0.25">
      <c r="A61" s="2" t="s">
        <v>9</v>
      </c>
      <c r="B61" s="3">
        <v>4</v>
      </c>
      <c r="C61" s="3">
        <v>10</v>
      </c>
      <c r="D61" s="3">
        <f t="shared" si="11"/>
        <v>50</v>
      </c>
      <c r="E61" s="3">
        <f t="shared" si="12"/>
        <v>200</v>
      </c>
      <c r="F61" s="2"/>
      <c r="G61" s="3"/>
    </row>
    <row r="62" spans="1:7" ht="12.5" x14ac:dyDescent="0.25">
      <c r="A62" s="2" t="s">
        <v>10</v>
      </c>
      <c r="B62" s="3">
        <v>2</v>
      </c>
      <c r="C62" s="3">
        <v>10</v>
      </c>
      <c r="D62" s="3">
        <f t="shared" si="11"/>
        <v>50</v>
      </c>
      <c r="E62" s="3">
        <f t="shared" si="12"/>
        <v>100</v>
      </c>
      <c r="F62" s="2"/>
      <c r="G62" s="3"/>
    </row>
    <row r="63" spans="1:7" ht="12.5" x14ac:dyDescent="0.25">
      <c r="A63" s="2" t="s">
        <v>11</v>
      </c>
      <c r="B63" s="3">
        <v>1</v>
      </c>
      <c r="C63" s="3">
        <f>D63/5</f>
        <v>10</v>
      </c>
      <c r="D63" s="3">
        <v>50</v>
      </c>
      <c r="E63" s="3">
        <f t="shared" si="12"/>
        <v>50</v>
      </c>
      <c r="F63" s="2"/>
      <c r="G63" s="3"/>
    </row>
    <row r="64" spans="1:7" ht="12.5" x14ac:dyDescent="0.25">
      <c r="A64" s="2" t="s">
        <v>12</v>
      </c>
      <c r="B64" s="3">
        <f>SUM(B58,B59,B60,B61,B62,B63)</f>
        <v>15</v>
      </c>
      <c r="C64" s="2"/>
      <c r="D64" s="2"/>
      <c r="E64" s="3">
        <f>SUM(E58:E63)</f>
        <v>810</v>
      </c>
      <c r="F64" s="2" t="s">
        <v>13</v>
      </c>
      <c r="G64" s="3">
        <f t="shared" si="4"/>
        <v>54</v>
      </c>
    </row>
    <row r="65" spans="1:7" ht="12.5" x14ac:dyDescent="0.25">
      <c r="A65" s="2"/>
      <c r="B65" s="2"/>
      <c r="C65" s="2"/>
      <c r="D65" s="2"/>
      <c r="E65" s="2"/>
      <c r="F65" s="2"/>
      <c r="G65" s="3"/>
    </row>
    <row r="66" spans="1:7" ht="12.5" x14ac:dyDescent="0.25">
      <c r="A66" s="2" t="s">
        <v>19</v>
      </c>
      <c r="B66" s="2"/>
      <c r="C66" s="2"/>
      <c r="D66" s="2"/>
      <c r="E66" s="2"/>
      <c r="F66" s="2"/>
      <c r="G66" s="3"/>
    </row>
    <row r="67" spans="1:7" ht="12.5" x14ac:dyDescent="0.25">
      <c r="A67" s="2"/>
      <c r="B67" s="2"/>
      <c r="C67" s="2"/>
      <c r="D67" s="2"/>
      <c r="E67" s="2"/>
      <c r="F67" s="2"/>
      <c r="G67" s="3"/>
    </row>
    <row r="68" spans="1:7" ht="12.5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/>
      <c r="G68" s="3"/>
    </row>
    <row r="69" spans="1:7" ht="12.5" x14ac:dyDescent="0.25">
      <c r="A69" s="2" t="s">
        <v>6</v>
      </c>
      <c r="B69" s="3">
        <v>5</v>
      </c>
      <c r="C69" s="3">
        <v>10</v>
      </c>
      <c r="D69" s="3">
        <f>PRODUCT(C69,5)</f>
        <v>50</v>
      </c>
      <c r="E69" s="3">
        <f>PRODUCT(B69,D69)</f>
        <v>250</v>
      </c>
      <c r="F69" s="2"/>
      <c r="G69" s="3"/>
    </row>
    <row r="70" spans="1:7" ht="12.5" x14ac:dyDescent="0.25">
      <c r="A70" s="2" t="s">
        <v>7</v>
      </c>
      <c r="B70" s="3">
        <v>0</v>
      </c>
      <c r="C70" s="3">
        <v>2</v>
      </c>
      <c r="D70" s="3">
        <f t="shared" ref="D70:D73" si="13">PRODUCT(C70,5)</f>
        <v>10</v>
      </c>
      <c r="E70" s="3">
        <f t="shared" ref="E70:E74" si="14">PRODUCT(B70,D70)</f>
        <v>0</v>
      </c>
      <c r="F70" s="2"/>
      <c r="G70" s="3"/>
    </row>
    <row r="71" spans="1:7" ht="12.5" x14ac:dyDescent="0.25">
      <c r="A71" s="2" t="s">
        <v>8</v>
      </c>
      <c r="B71" s="3">
        <v>4</v>
      </c>
      <c r="C71" s="3">
        <v>10</v>
      </c>
      <c r="D71" s="3">
        <f t="shared" si="13"/>
        <v>50</v>
      </c>
      <c r="E71" s="3">
        <f t="shared" si="14"/>
        <v>200</v>
      </c>
      <c r="F71" s="2"/>
      <c r="G71" s="3"/>
    </row>
    <row r="72" spans="1:7" ht="12.5" x14ac:dyDescent="0.25">
      <c r="A72" s="2" t="s">
        <v>9</v>
      </c>
      <c r="B72" s="3">
        <v>3</v>
      </c>
      <c r="C72" s="3">
        <v>18</v>
      </c>
      <c r="D72" s="3">
        <f t="shared" si="13"/>
        <v>90</v>
      </c>
      <c r="E72" s="3">
        <f t="shared" si="14"/>
        <v>270</v>
      </c>
      <c r="F72" s="2"/>
      <c r="G72" s="3"/>
    </row>
    <row r="73" spans="1:7" ht="12.5" x14ac:dyDescent="0.25">
      <c r="A73" s="2" t="s">
        <v>10</v>
      </c>
      <c r="B73" s="3">
        <v>1</v>
      </c>
      <c r="C73" s="3">
        <v>7</v>
      </c>
      <c r="D73" s="3">
        <f t="shared" si="13"/>
        <v>35</v>
      </c>
      <c r="E73" s="3">
        <f t="shared" si="14"/>
        <v>35</v>
      </c>
      <c r="F73" s="2"/>
      <c r="G73" s="3"/>
    </row>
    <row r="74" spans="1:7" ht="12.5" x14ac:dyDescent="0.25">
      <c r="A74" s="2" t="s">
        <v>11</v>
      </c>
      <c r="B74" s="3">
        <v>2</v>
      </c>
      <c r="C74" s="3">
        <f>D74/5</f>
        <v>4</v>
      </c>
      <c r="D74" s="3">
        <v>20</v>
      </c>
      <c r="E74" s="3">
        <f t="shared" si="14"/>
        <v>40</v>
      </c>
      <c r="F74" s="2"/>
      <c r="G74" s="3"/>
    </row>
    <row r="75" spans="1:7" ht="12.5" x14ac:dyDescent="0.25">
      <c r="A75" s="2" t="s">
        <v>12</v>
      </c>
      <c r="B75" s="3">
        <f>SUM(B69,B70,B71,B72,B73,B74)</f>
        <v>15</v>
      </c>
      <c r="C75" s="2"/>
      <c r="D75" s="2"/>
      <c r="E75" s="3">
        <f>SUM(E69:E74)</f>
        <v>795</v>
      </c>
      <c r="F75" s="2" t="s">
        <v>13</v>
      </c>
      <c r="G75" s="3">
        <f t="shared" ref="G75:G108" si="15">E75/B75</f>
        <v>53</v>
      </c>
    </row>
    <row r="76" spans="1:7" ht="12.5" x14ac:dyDescent="0.25">
      <c r="A76" s="2"/>
      <c r="B76" s="2"/>
      <c r="C76" s="2"/>
      <c r="D76" s="2"/>
      <c r="E76" s="2"/>
      <c r="F76" s="2"/>
      <c r="G76" s="3"/>
    </row>
    <row r="77" spans="1:7" ht="12.5" x14ac:dyDescent="0.25">
      <c r="A77" s="2" t="s">
        <v>20</v>
      </c>
      <c r="B77" s="2"/>
      <c r="C77" s="2"/>
      <c r="D77" s="2"/>
      <c r="E77" s="2"/>
      <c r="F77" s="2"/>
      <c r="G77" s="3"/>
    </row>
    <row r="78" spans="1:7" ht="12.5" x14ac:dyDescent="0.25">
      <c r="A78" s="2"/>
      <c r="B78" s="2"/>
      <c r="C78" s="2"/>
      <c r="D78" s="2"/>
      <c r="E78" s="2"/>
      <c r="F78" s="2"/>
      <c r="G78" s="3"/>
    </row>
    <row r="79" spans="1:7" ht="12.5" x14ac:dyDescent="0.25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/>
      <c r="G79" s="3"/>
    </row>
    <row r="80" spans="1:7" ht="12.5" x14ac:dyDescent="0.25">
      <c r="A80" s="2" t="s">
        <v>6</v>
      </c>
      <c r="B80" s="3">
        <v>2</v>
      </c>
      <c r="C80" s="3">
        <v>3</v>
      </c>
      <c r="D80" s="3">
        <f>PRODUCT(C80,5)</f>
        <v>15</v>
      </c>
      <c r="E80" s="3">
        <f>PRODUCT(B80,D80)</f>
        <v>30</v>
      </c>
      <c r="F80" s="2"/>
      <c r="G80" s="3"/>
    </row>
    <row r="81" spans="1:7" ht="12.5" x14ac:dyDescent="0.25">
      <c r="A81" s="2" t="s">
        <v>7</v>
      </c>
      <c r="B81" s="3">
        <v>2</v>
      </c>
      <c r="C81" s="3">
        <v>1</v>
      </c>
      <c r="D81" s="3">
        <f t="shared" ref="D81:D84" si="16">PRODUCT(C81,5)</f>
        <v>5</v>
      </c>
      <c r="E81" s="3">
        <f t="shared" ref="E81:E85" si="17">PRODUCT(B81,D81)</f>
        <v>10</v>
      </c>
      <c r="F81" s="2"/>
      <c r="G81" s="3"/>
    </row>
    <row r="82" spans="1:7" ht="12.5" x14ac:dyDescent="0.25">
      <c r="A82" s="2" t="s">
        <v>8</v>
      </c>
      <c r="B82" s="3">
        <v>4</v>
      </c>
      <c r="C82" s="3">
        <v>2</v>
      </c>
      <c r="D82" s="3">
        <f t="shared" si="16"/>
        <v>10</v>
      </c>
      <c r="E82" s="3">
        <f t="shared" si="17"/>
        <v>40</v>
      </c>
      <c r="F82" s="2"/>
      <c r="G82" s="3"/>
    </row>
    <row r="83" spans="1:7" ht="12.5" x14ac:dyDescent="0.25">
      <c r="A83" s="2" t="s">
        <v>9</v>
      </c>
      <c r="B83" s="3">
        <v>5</v>
      </c>
      <c r="C83" s="3">
        <v>4</v>
      </c>
      <c r="D83" s="3">
        <f t="shared" si="16"/>
        <v>20</v>
      </c>
      <c r="E83" s="3">
        <f t="shared" si="17"/>
        <v>100</v>
      </c>
      <c r="F83" s="2"/>
      <c r="G83" s="3"/>
    </row>
    <row r="84" spans="1:7" ht="12.5" x14ac:dyDescent="0.25">
      <c r="A84" s="2" t="s">
        <v>10</v>
      </c>
      <c r="B84" s="3">
        <v>2</v>
      </c>
      <c r="C84" s="3">
        <v>2</v>
      </c>
      <c r="D84" s="3">
        <f t="shared" si="16"/>
        <v>10</v>
      </c>
      <c r="E84" s="3">
        <f t="shared" si="17"/>
        <v>20</v>
      </c>
      <c r="F84" s="2"/>
      <c r="G84" s="3"/>
    </row>
    <row r="85" spans="1:7" ht="12.5" x14ac:dyDescent="0.25">
      <c r="A85" s="2" t="s">
        <v>11</v>
      </c>
      <c r="B85" s="3">
        <v>0</v>
      </c>
      <c r="C85" s="3">
        <f>D85/5</f>
        <v>2</v>
      </c>
      <c r="D85" s="3">
        <v>10</v>
      </c>
      <c r="E85" s="3">
        <f t="shared" si="17"/>
        <v>0</v>
      </c>
      <c r="F85" s="2"/>
      <c r="G85" s="3"/>
    </row>
    <row r="86" spans="1:7" ht="12.5" x14ac:dyDescent="0.25">
      <c r="A86" s="2" t="s">
        <v>12</v>
      </c>
      <c r="B86" s="3">
        <f>SUM(B80,B81,B82,B83,B84,B85)</f>
        <v>15</v>
      </c>
      <c r="C86" s="2"/>
      <c r="D86" s="2"/>
      <c r="E86" s="3">
        <f>SUM(E80:E85)</f>
        <v>200</v>
      </c>
      <c r="F86" s="2" t="s">
        <v>13</v>
      </c>
      <c r="G86" s="3">
        <f t="shared" si="15"/>
        <v>13.333333333333334</v>
      </c>
    </row>
    <row r="87" spans="1:7" ht="12.5" x14ac:dyDescent="0.25">
      <c r="A87" s="2"/>
      <c r="B87" s="2"/>
      <c r="C87" s="2"/>
      <c r="D87" s="2"/>
      <c r="E87" s="2"/>
      <c r="F87" s="2"/>
      <c r="G87" s="3"/>
    </row>
    <row r="88" spans="1:7" ht="12.5" x14ac:dyDescent="0.25">
      <c r="A88" s="2" t="s">
        <v>21</v>
      </c>
      <c r="B88" s="2"/>
      <c r="C88" s="2"/>
      <c r="D88" s="2"/>
      <c r="E88" s="2"/>
      <c r="F88" s="2"/>
      <c r="G88" s="3"/>
    </row>
    <row r="89" spans="1:7" ht="12.5" x14ac:dyDescent="0.25">
      <c r="A89" s="2"/>
      <c r="B89" s="2"/>
      <c r="C89" s="2"/>
      <c r="D89" s="2"/>
      <c r="E89" s="2"/>
      <c r="F89" s="2"/>
      <c r="G89" s="3"/>
    </row>
    <row r="90" spans="1:7" ht="12.5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/>
      <c r="G90" s="3"/>
    </row>
    <row r="91" spans="1:7" ht="12.5" x14ac:dyDescent="0.25">
      <c r="A91" s="2" t="s">
        <v>6</v>
      </c>
      <c r="B91" s="3">
        <v>5</v>
      </c>
      <c r="C91" s="3">
        <v>8</v>
      </c>
      <c r="D91" s="3">
        <f>PRODUCT(C91,5)</f>
        <v>40</v>
      </c>
      <c r="E91" s="3">
        <f>PRODUCT(B91,D91)</f>
        <v>200</v>
      </c>
      <c r="F91" s="2"/>
      <c r="G91" s="3"/>
    </row>
    <row r="92" spans="1:7" ht="12.5" x14ac:dyDescent="0.25">
      <c r="A92" s="2" t="s">
        <v>7</v>
      </c>
      <c r="B92" s="3">
        <v>0</v>
      </c>
      <c r="C92" s="3">
        <v>1</v>
      </c>
      <c r="D92" s="3">
        <f t="shared" ref="D92:D95" si="18">PRODUCT(C92,5)</f>
        <v>5</v>
      </c>
      <c r="E92" s="3">
        <f t="shared" ref="E92:E96" si="19">PRODUCT(B92,D92)</f>
        <v>0</v>
      </c>
      <c r="F92" s="2"/>
      <c r="G92" s="3"/>
    </row>
    <row r="93" spans="1:7" ht="12.5" x14ac:dyDescent="0.25">
      <c r="A93" s="2" t="s">
        <v>8</v>
      </c>
      <c r="B93" s="3">
        <v>4</v>
      </c>
      <c r="C93" s="3">
        <v>10</v>
      </c>
      <c r="D93" s="3">
        <f t="shared" si="18"/>
        <v>50</v>
      </c>
      <c r="E93" s="3">
        <f t="shared" si="19"/>
        <v>200</v>
      </c>
      <c r="F93" s="2"/>
      <c r="G93" s="3"/>
    </row>
    <row r="94" spans="1:7" ht="12.5" x14ac:dyDescent="0.25">
      <c r="A94" s="2" t="s">
        <v>9</v>
      </c>
      <c r="B94" s="3">
        <v>3</v>
      </c>
      <c r="C94" s="3">
        <v>17</v>
      </c>
      <c r="D94" s="3">
        <f t="shared" si="18"/>
        <v>85</v>
      </c>
      <c r="E94" s="3">
        <f t="shared" si="19"/>
        <v>255</v>
      </c>
      <c r="F94" s="2"/>
      <c r="G94" s="3"/>
    </row>
    <row r="95" spans="1:7" ht="12.5" x14ac:dyDescent="0.25">
      <c r="A95" s="2" t="s">
        <v>10</v>
      </c>
      <c r="B95" s="3">
        <v>2</v>
      </c>
      <c r="C95" s="3">
        <v>10</v>
      </c>
      <c r="D95" s="3">
        <f t="shared" si="18"/>
        <v>50</v>
      </c>
      <c r="E95" s="3">
        <f t="shared" si="19"/>
        <v>100</v>
      </c>
      <c r="F95" s="2"/>
      <c r="G95" s="3"/>
    </row>
    <row r="96" spans="1:7" ht="12.5" x14ac:dyDescent="0.25">
      <c r="A96" s="2" t="s">
        <v>11</v>
      </c>
      <c r="B96" s="3">
        <v>1</v>
      </c>
      <c r="C96" s="3">
        <f>D96/5</f>
        <v>10</v>
      </c>
      <c r="D96" s="3">
        <v>50</v>
      </c>
      <c r="E96" s="3">
        <f t="shared" si="19"/>
        <v>50</v>
      </c>
      <c r="F96" s="2"/>
      <c r="G96" s="3"/>
    </row>
    <row r="97" spans="1:7" ht="12.5" x14ac:dyDescent="0.25">
      <c r="A97" s="2" t="s">
        <v>12</v>
      </c>
      <c r="B97" s="3">
        <f>SUM(B91,B92,B93,B94,B95,B96)</f>
        <v>15</v>
      </c>
      <c r="C97" s="2"/>
      <c r="D97" s="2"/>
      <c r="E97" s="3">
        <f>SUM(E91:E96)</f>
        <v>805</v>
      </c>
      <c r="F97" s="2" t="s">
        <v>13</v>
      </c>
      <c r="G97" s="3">
        <f t="shared" si="15"/>
        <v>53.666666666666664</v>
      </c>
    </row>
    <row r="98" spans="1:7" ht="12.5" x14ac:dyDescent="0.25">
      <c r="A98" s="2"/>
      <c r="B98" s="2"/>
      <c r="C98" s="2"/>
      <c r="D98" s="2"/>
      <c r="E98" s="2"/>
      <c r="F98" s="2"/>
      <c r="G98" s="3"/>
    </row>
    <row r="99" spans="1:7" ht="12.5" x14ac:dyDescent="0.25">
      <c r="A99" s="2" t="s">
        <v>22</v>
      </c>
      <c r="B99" s="2"/>
      <c r="C99" s="2"/>
      <c r="D99" s="2"/>
      <c r="E99" s="2"/>
      <c r="F99" s="2"/>
      <c r="G99" s="3"/>
    </row>
    <row r="100" spans="1:7" ht="12.5" x14ac:dyDescent="0.25">
      <c r="A100" s="2"/>
      <c r="B100" s="2"/>
      <c r="C100" s="2"/>
      <c r="D100" s="2"/>
      <c r="E100" s="2"/>
      <c r="F100" s="2"/>
      <c r="G100" s="3"/>
    </row>
    <row r="101" spans="1:7" ht="12.5" x14ac:dyDescent="0.25">
      <c r="A101" s="2" t="s">
        <v>1</v>
      </c>
      <c r="B101" s="2" t="s">
        <v>2</v>
      </c>
      <c r="C101" s="2" t="s">
        <v>3</v>
      </c>
      <c r="D101" s="2" t="s">
        <v>4</v>
      </c>
      <c r="E101" s="2" t="s">
        <v>5</v>
      </c>
      <c r="F101" s="2"/>
      <c r="G101" s="3"/>
    </row>
    <row r="102" spans="1:7" ht="12.5" x14ac:dyDescent="0.25">
      <c r="A102" s="2" t="s">
        <v>6</v>
      </c>
      <c r="B102" s="3">
        <v>5</v>
      </c>
      <c r="C102" s="3">
        <v>10</v>
      </c>
      <c r="D102" s="3">
        <f>PRODUCT(C102,5)</f>
        <v>50</v>
      </c>
      <c r="E102" s="3">
        <f>PRODUCT(B102,D102)</f>
        <v>250</v>
      </c>
      <c r="F102" s="2"/>
      <c r="G102" s="3"/>
    </row>
    <row r="103" spans="1:7" ht="12.5" x14ac:dyDescent="0.25">
      <c r="A103" s="2" t="s">
        <v>7</v>
      </c>
      <c r="B103" s="3">
        <v>0</v>
      </c>
      <c r="C103" s="3">
        <v>2</v>
      </c>
      <c r="D103" s="3">
        <f t="shared" ref="D103:D106" si="20">PRODUCT(C103,5)</f>
        <v>10</v>
      </c>
      <c r="E103" s="3">
        <f t="shared" ref="E103:E107" si="21">PRODUCT(B103,D103)</f>
        <v>0</v>
      </c>
      <c r="F103" s="2"/>
      <c r="G103" s="3"/>
    </row>
    <row r="104" spans="1:7" ht="12.5" x14ac:dyDescent="0.25">
      <c r="A104" s="2" t="s">
        <v>8</v>
      </c>
      <c r="B104" s="3">
        <v>4</v>
      </c>
      <c r="C104" s="3">
        <v>14</v>
      </c>
      <c r="D104" s="3">
        <f t="shared" si="20"/>
        <v>70</v>
      </c>
      <c r="E104" s="3">
        <f t="shared" si="21"/>
        <v>280</v>
      </c>
      <c r="F104" s="2"/>
      <c r="G104" s="3"/>
    </row>
    <row r="105" spans="1:7" ht="12.5" x14ac:dyDescent="0.25">
      <c r="A105" s="2" t="s">
        <v>9</v>
      </c>
      <c r="B105" s="3">
        <v>2</v>
      </c>
      <c r="C105" s="3">
        <v>5</v>
      </c>
      <c r="D105" s="3">
        <f t="shared" si="20"/>
        <v>25</v>
      </c>
      <c r="E105" s="3">
        <f t="shared" si="21"/>
        <v>50</v>
      </c>
      <c r="F105" s="2"/>
      <c r="G105" s="3"/>
    </row>
    <row r="106" spans="1:7" ht="12.5" x14ac:dyDescent="0.25">
      <c r="A106" s="2" t="s">
        <v>10</v>
      </c>
      <c r="B106" s="3">
        <v>1</v>
      </c>
      <c r="C106" s="3">
        <v>5</v>
      </c>
      <c r="D106" s="3">
        <f t="shared" si="20"/>
        <v>25</v>
      </c>
      <c r="E106" s="3">
        <f t="shared" si="21"/>
        <v>25</v>
      </c>
      <c r="F106" s="2"/>
      <c r="G106" s="3"/>
    </row>
    <row r="107" spans="1:7" ht="12.5" x14ac:dyDescent="0.25">
      <c r="A107" s="2" t="s">
        <v>11</v>
      </c>
      <c r="B107" s="3">
        <v>3</v>
      </c>
      <c r="C107" s="3">
        <f>D107/5</f>
        <v>10</v>
      </c>
      <c r="D107" s="3">
        <v>50</v>
      </c>
      <c r="E107" s="3">
        <f t="shared" si="21"/>
        <v>150</v>
      </c>
      <c r="F107" s="2"/>
      <c r="G107" s="3"/>
    </row>
    <row r="108" spans="1:7" ht="12.5" x14ac:dyDescent="0.25">
      <c r="A108" s="2" t="s">
        <v>12</v>
      </c>
      <c r="B108" s="3">
        <f>SUM(B102,B103,B104,B105,B106,B107)</f>
        <v>15</v>
      </c>
      <c r="C108" s="2"/>
      <c r="D108" s="2"/>
      <c r="E108" s="3">
        <f>SUM(E102:E107)</f>
        <v>755</v>
      </c>
      <c r="F108" s="2" t="s">
        <v>13</v>
      </c>
      <c r="G108" s="3">
        <f t="shared" si="15"/>
        <v>50.333333333333336</v>
      </c>
    </row>
    <row r="109" spans="1:7" ht="15.75" customHeight="1" x14ac:dyDescent="0.25">
      <c r="G109" s="3"/>
    </row>
    <row r="110" spans="1:7" ht="15.75" customHeight="1" x14ac:dyDescent="0.25">
      <c r="G110" s="3"/>
    </row>
    <row r="111" spans="1:7" ht="15.75" customHeight="1" x14ac:dyDescent="0.25">
      <c r="G111" s="3"/>
    </row>
    <row r="112" spans="1:7" ht="15.75" customHeight="1" x14ac:dyDescent="0.25">
      <c r="G112" s="3"/>
    </row>
    <row r="113" spans="7:7" ht="15.75" customHeight="1" x14ac:dyDescent="0.25">
      <c r="G113" s="3"/>
    </row>
    <row r="114" spans="7:7" ht="15.75" customHeight="1" x14ac:dyDescent="0.25">
      <c r="G114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5"/>
  <sheetViews>
    <sheetView tabSelected="1" topLeftCell="A14" zoomScale="70" zoomScaleNormal="70" workbookViewId="0">
      <selection activeCell="I99" sqref="I99"/>
    </sheetView>
  </sheetViews>
  <sheetFormatPr defaultColWidth="12.54296875" defaultRowHeight="15.75" customHeight="1" x14ac:dyDescent="0.25"/>
  <cols>
    <col min="3" max="3" width="13.453125" customWidth="1"/>
    <col min="4" max="4" width="27" customWidth="1"/>
    <col min="5" max="5" width="27.1796875" customWidth="1"/>
  </cols>
  <sheetData>
    <row r="1" spans="1:7" ht="12.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/>
      <c r="G1" s="2"/>
    </row>
    <row r="2" spans="1:7" ht="12.5" x14ac:dyDescent="0.25">
      <c r="A2" s="2" t="s">
        <v>6</v>
      </c>
      <c r="B2" s="3">
        <v>2</v>
      </c>
      <c r="C2" s="3">
        <v>5</v>
      </c>
      <c r="D2" s="3">
        <f>PRODUCT(C2,5)</f>
        <v>25</v>
      </c>
      <c r="E2" s="3">
        <f>PRODUCT(B2,D2)</f>
        <v>50</v>
      </c>
      <c r="F2" s="2"/>
      <c r="G2" s="2"/>
    </row>
    <row r="3" spans="1:7" ht="12.5" x14ac:dyDescent="0.25">
      <c r="A3" s="2" t="s">
        <v>7</v>
      </c>
      <c r="B3" s="3">
        <v>4</v>
      </c>
      <c r="C3" s="3">
        <v>10</v>
      </c>
      <c r="D3" s="3">
        <f t="shared" ref="D3:D6" si="0">PRODUCT(C3,5)</f>
        <v>50</v>
      </c>
      <c r="E3" s="3">
        <f t="shared" ref="E3:E7" si="1">PRODUCT(B3,D3)</f>
        <v>200</v>
      </c>
      <c r="F3" s="2"/>
      <c r="G3" s="2"/>
    </row>
    <row r="4" spans="1:7" ht="12.5" x14ac:dyDescent="0.25">
      <c r="A4" s="2" t="s">
        <v>8</v>
      </c>
      <c r="B4" s="3">
        <v>0</v>
      </c>
      <c r="C4" s="3">
        <v>2</v>
      </c>
      <c r="D4" s="3">
        <f t="shared" si="0"/>
        <v>10</v>
      </c>
      <c r="E4" s="3">
        <f t="shared" si="1"/>
        <v>0</v>
      </c>
      <c r="F4" s="2"/>
      <c r="G4" s="2"/>
    </row>
    <row r="5" spans="1:7" ht="12.5" x14ac:dyDescent="0.25">
      <c r="A5" s="2" t="s">
        <v>9</v>
      </c>
      <c r="B5" s="3">
        <v>5</v>
      </c>
      <c r="C5" s="3">
        <v>15</v>
      </c>
      <c r="D5" s="3">
        <f t="shared" si="0"/>
        <v>75</v>
      </c>
      <c r="E5" s="3">
        <f t="shared" si="1"/>
        <v>375</v>
      </c>
      <c r="F5" s="2"/>
      <c r="G5" s="2"/>
    </row>
    <row r="6" spans="1:7" ht="12.5" x14ac:dyDescent="0.25">
      <c r="A6" s="2" t="s">
        <v>10</v>
      </c>
      <c r="B6" s="3">
        <v>3</v>
      </c>
      <c r="C6" s="3">
        <v>10</v>
      </c>
      <c r="D6" s="3">
        <f t="shared" si="0"/>
        <v>50</v>
      </c>
      <c r="E6" s="3">
        <f t="shared" si="1"/>
        <v>150</v>
      </c>
      <c r="F6" s="2"/>
      <c r="G6" s="2"/>
    </row>
    <row r="7" spans="1:7" ht="12.5" x14ac:dyDescent="0.25">
      <c r="A7" s="2" t="s">
        <v>11</v>
      </c>
      <c r="B7" s="3">
        <v>1</v>
      </c>
      <c r="C7" s="3">
        <f>D7/5</f>
        <v>2</v>
      </c>
      <c r="D7" s="3">
        <v>10</v>
      </c>
      <c r="E7" s="3">
        <f t="shared" si="1"/>
        <v>10</v>
      </c>
      <c r="F7" s="2"/>
      <c r="G7" s="2"/>
    </row>
    <row r="8" spans="1:7" ht="12.5" x14ac:dyDescent="0.25">
      <c r="A8" s="2" t="s">
        <v>12</v>
      </c>
      <c r="B8" s="3">
        <f>SUM(B2,B3,B4,B5,B6,B7)</f>
        <v>15</v>
      </c>
      <c r="C8" s="2"/>
      <c r="D8" s="2"/>
      <c r="E8" s="3">
        <f>SUM(E2:E7)</f>
        <v>785</v>
      </c>
      <c r="F8" s="2" t="s">
        <v>13</v>
      </c>
      <c r="G8" s="3">
        <f>E8/B8</f>
        <v>52.333333333333336</v>
      </c>
    </row>
    <row r="9" spans="1:7" ht="15.75" customHeight="1" x14ac:dyDescent="0.25">
      <c r="G9" s="3"/>
    </row>
    <row r="10" spans="1:7" ht="15.75" customHeight="1" x14ac:dyDescent="0.25">
      <c r="G10" s="3"/>
    </row>
    <row r="11" spans="1:7" ht="12.5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/>
      <c r="G11" s="3"/>
    </row>
    <row r="12" spans="1:7" ht="12.5" x14ac:dyDescent="0.25">
      <c r="A12" s="2" t="s">
        <v>6</v>
      </c>
      <c r="B12" s="3">
        <v>1</v>
      </c>
      <c r="C12" s="3">
        <v>4</v>
      </c>
      <c r="D12" s="3">
        <f>PRODUCT(C12,5)</f>
        <v>20</v>
      </c>
      <c r="E12" s="3">
        <f>PRODUCT(B12,D12)</f>
        <v>20</v>
      </c>
      <c r="F12" s="2"/>
      <c r="G12" s="3"/>
    </row>
    <row r="13" spans="1:7" ht="12.5" x14ac:dyDescent="0.25">
      <c r="A13" s="2" t="s">
        <v>7</v>
      </c>
      <c r="B13" s="3">
        <v>0</v>
      </c>
      <c r="C13" s="3">
        <v>5</v>
      </c>
      <c r="D13" s="3">
        <f t="shared" ref="D13:D16" si="2">PRODUCT(C13,5)</f>
        <v>25</v>
      </c>
      <c r="E13" s="3">
        <f t="shared" ref="E13:E17" si="3">PRODUCT(B13,D13)</f>
        <v>0</v>
      </c>
      <c r="F13" s="2"/>
      <c r="G13" s="3"/>
    </row>
    <row r="14" spans="1:7" ht="12.5" x14ac:dyDescent="0.25">
      <c r="A14" s="2" t="s">
        <v>8</v>
      </c>
      <c r="B14" s="3">
        <v>4</v>
      </c>
      <c r="C14" s="3">
        <v>10</v>
      </c>
      <c r="D14" s="3">
        <f t="shared" si="2"/>
        <v>50</v>
      </c>
      <c r="E14" s="3">
        <f t="shared" si="3"/>
        <v>200</v>
      </c>
      <c r="F14" s="2"/>
      <c r="G14" s="3"/>
    </row>
    <row r="15" spans="1:7" ht="12.5" x14ac:dyDescent="0.25">
      <c r="A15" s="2" t="s">
        <v>9</v>
      </c>
      <c r="B15" s="3">
        <v>5</v>
      </c>
      <c r="C15" s="3">
        <v>14</v>
      </c>
      <c r="D15" s="3">
        <f t="shared" si="2"/>
        <v>70</v>
      </c>
      <c r="E15" s="3">
        <f t="shared" si="3"/>
        <v>350</v>
      </c>
      <c r="F15" s="2"/>
      <c r="G15" s="3"/>
    </row>
    <row r="16" spans="1:7" ht="12.5" x14ac:dyDescent="0.25">
      <c r="A16" s="2" t="s">
        <v>10</v>
      </c>
      <c r="B16" s="3">
        <v>2</v>
      </c>
      <c r="C16" s="3">
        <v>6</v>
      </c>
      <c r="D16" s="3">
        <f t="shared" si="2"/>
        <v>30</v>
      </c>
      <c r="E16" s="3">
        <f t="shared" si="3"/>
        <v>60</v>
      </c>
      <c r="F16" s="2"/>
      <c r="G16" s="3"/>
    </row>
    <row r="17" spans="1:7" ht="12.5" x14ac:dyDescent="0.25">
      <c r="A17" s="2" t="s">
        <v>11</v>
      </c>
      <c r="B17" s="3">
        <v>3</v>
      </c>
      <c r="C17" s="3">
        <f>D17/5</f>
        <v>3</v>
      </c>
      <c r="D17" s="3">
        <v>15</v>
      </c>
      <c r="E17" s="3">
        <f t="shared" si="3"/>
        <v>45</v>
      </c>
      <c r="F17" s="2"/>
      <c r="G17" s="3"/>
    </row>
    <row r="18" spans="1:7" ht="12.5" x14ac:dyDescent="0.25">
      <c r="A18" s="2" t="s">
        <v>12</v>
      </c>
      <c r="B18" s="3">
        <f>SUM(B12,B13,B14,B15,B16,B17)</f>
        <v>15</v>
      </c>
      <c r="C18" s="2"/>
      <c r="D18" s="2"/>
      <c r="E18" s="3">
        <f>SUM(E12:E17)</f>
        <v>675</v>
      </c>
      <c r="F18" s="2" t="s">
        <v>13</v>
      </c>
      <c r="G18" s="3">
        <f t="shared" ref="G18:G72" si="4">E18/B18</f>
        <v>45</v>
      </c>
    </row>
    <row r="19" spans="1:7" ht="15.75" customHeight="1" x14ac:dyDescent="0.25">
      <c r="G19" s="3"/>
    </row>
    <row r="20" spans="1:7" ht="15.75" customHeight="1" x14ac:dyDescent="0.25">
      <c r="G20" s="3"/>
    </row>
    <row r="21" spans="1:7" ht="12.5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/>
      <c r="G21" s="3"/>
    </row>
    <row r="22" spans="1:7" ht="12.5" x14ac:dyDescent="0.25">
      <c r="A22" s="2" t="s">
        <v>6</v>
      </c>
      <c r="B22" s="3">
        <v>1</v>
      </c>
      <c r="C22" s="3">
        <v>8</v>
      </c>
      <c r="D22" s="3">
        <f>PRODUCT(C22,5)</f>
        <v>40</v>
      </c>
      <c r="E22" s="3">
        <f>PRODUCT(B22,D22)</f>
        <v>40</v>
      </c>
      <c r="F22" s="2"/>
      <c r="G22" s="3"/>
    </row>
    <row r="23" spans="1:7" ht="12.5" x14ac:dyDescent="0.25">
      <c r="A23" s="2" t="s">
        <v>7</v>
      </c>
      <c r="B23" s="3">
        <v>2</v>
      </c>
      <c r="C23" s="3">
        <v>8</v>
      </c>
      <c r="D23" s="3">
        <f t="shared" ref="D23:D26" si="5">PRODUCT(C23,5)</f>
        <v>40</v>
      </c>
      <c r="E23" s="3">
        <f t="shared" ref="E23:E27" si="6">PRODUCT(B23,D23)</f>
        <v>80</v>
      </c>
      <c r="F23" s="2"/>
      <c r="G23" s="3"/>
    </row>
    <row r="24" spans="1:7" ht="12.5" x14ac:dyDescent="0.25">
      <c r="A24" s="2" t="s">
        <v>8</v>
      </c>
      <c r="B24" s="3">
        <v>4</v>
      </c>
      <c r="C24" s="3">
        <v>13</v>
      </c>
      <c r="D24" s="3">
        <f t="shared" si="5"/>
        <v>65</v>
      </c>
      <c r="E24" s="3">
        <f t="shared" si="6"/>
        <v>260</v>
      </c>
      <c r="F24" s="2"/>
      <c r="G24" s="3"/>
    </row>
    <row r="25" spans="1:7" ht="12.5" x14ac:dyDescent="0.25">
      <c r="A25" s="2" t="s">
        <v>9</v>
      </c>
      <c r="B25" s="3">
        <v>5</v>
      </c>
      <c r="C25" s="3">
        <v>15</v>
      </c>
      <c r="D25" s="3">
        <f t="shared" si="5"/>
        <v>75</v>
      </c>
      <c r="E25" s="3">
        <f t="shared" si="6"/>
        <v>375</v>
      </c>
      <c r="F25" s="2"/>
      <c r="G25" s="3"/>
    </row>
    <row r="26" spans="1:7" ht="12.5" x14ac:dyDescent="0.25">
      <c r="A26" s="2" t="s">
        <v>10</v>
      </c>
      <c r="B26" s="3">
        <v>3</v>
      </c>
      <c r="C26" s="3">
        <v>4</v>
      </c>
      <c r="D26" s="3">
        <f t="shared" si="5"/>
        <v>20</v>
      </c>
      <c r="E26" s="3">
        <f t="shared" si="6"/>
        <v>60</v>
      </c>
      <c r="F26" s="2"/>
      <c r="G26" s="3"/>
    </row>
    <row r="27" spans="1:7" ht="12.5" x14ac:dyDescent="0.25">
      <c r="A27" s="2" t="s">
        <v>11</v>
      </c>
      <c r="B27" s="3">
        <v>0</v>
      </c>
      <c r="C27" s="3">
        <f>D27/5</f>
        <v>5</v>
      </c>
      <c r="D27" s="3">
        <v>25</v>
      </c>
      <c r="E27" s="3">
        <f t="shared" si="6"/>
        <v>0</v>
      </c>
      <c r="F27" s="2"/>
      <c r="G27" s="3"/>
    </row>
    <row r="28" spans="1:7" ht="12.5" x14ac:dyDescent="0.25">
      <c r="A28" s="2" t="s">
        <v>12</v>
      </c>
      <c r="B28" s="3">
        <f>SUM(B22,B23,B24,B25,B26,B27)</f>
        <v>15</v>
      </c>
      <c r="C28" s="2"/>
      <c r="D28" s="2"/>
      <c r="E28" s="3">
        <f>SUM(E22:E27)</f>
        <v>815</v>
      </c>
      <c r="F28" s="2" t="s">
        <v>13</v>
      </c>
      <c r="G28" s="3">
        <f t="shared" si="4"/>
        <v>54.333333333333336</v>
      </c>
    </row>
    <row r="29" spans="1:7" ht="15.75" customHeight="1" x14ac:dyDescent="0.25">
      <c r="G29" s="3"/>
    </row>
    <row r="30" spans="1:7" ht="12.5" x14ac:dyDescent="0.25">
      <c r="A30" s="1" t="s">
        <v>16</v>
      </c>
      <c r="G30" s="3"/>
    </row>
    <row r="31" spans="1:7" ht="15.75" customHeight="1" x14ac:dyDescent="0.25">
      <c r="G31" s="3"/>
    </row>
    <row r="32" spans="1:7" ht="12.5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/>
      <c r="G32" s="3"/>
    </row>
    <row r="33" spans="1:7" ht="12.5" x14ac:dyDescent="0.25">
      <c r="A33" s="2" t="s">
        <v>6</v>
      </c>
      <c r="B33" s="3">
        <v>2</v>
      </c>
      <c r="C33" s="3">
        <v>1</v>
      </c>
      <c r="D33" s="3">
        <f>PRODUCT(C33,5)</f>
        <v>5</v>
      </c>
      <c r="E33" s="3">
        <f>PRODUCT(B33,D33)</f>
        <v>10</v>
      </c>
      <c r="F33" s="2"/>
      <c r="G33" s="3"/>
    </row>
    <row r="34" spans="1:7" ht="12.5" x14ac:dyDescent="0.25">
      <c r="A34" s="2" t="s">
        <v>7</v>
      </c>
      <c r="B34" s="3">
        <v>1</v>
      </c>
      <c r="C34" s="3">
        <v>1</v>
      </c>
      <c r="D34" s="3">
        <f t="shared" ref="D34:D37" si="7">PRODUCT(C34,5)</f>
        <v>5</v>
      </c>
      <c r="E34" s="3">
        <f t="shared" ref="E34:E38" si="8">PRODUCT(B34,D34)</f>
        <v>5</v>
      </c>
      <c r="F34" s="2"/>
      <c r="G34" s="3"/>
    </row>
    <row r="35" spans="1:7" ht="12.5" x14ac:dyDescent="0.25">
      <c r="A35" s="2" t="s">
        <v>8</v>
      </c>
      <c r="B35" s="3">
        <v>4</v>
      </c>
      <c r="C35" s="3">
        <v>10</v>
      </c>
      <c r="D35" s="3">
        <f t="shared" si="7"/>
        <v>50</v>
      </c>
      <c r="E35" s="3">
        <f t="shared" si="8"/>
        <v>200</v>
      </c>
      <c r="F35" s="2"/>
      <c r="G35" s="3"/>
    </row>
    <row r="36" spans="1:7" ht="12.5" x14ac:dyDescent="0.25">
      <c r="A36" s="2" t="s">
        <v>9</v>
      </c>
      <c r="B36" s="3">
        <v>5</v>
      </c>
      <c r="C36" s="3">
        <v>15</v>
      </c>
      <c r="D36" s="3">
        <f t="shared" si="7"/>
        <v>75</v>
      </c>
      <c r="E36" s="3">
        <f t="shared" si="8"/>
        <v>375</v>
      </c>
      <c r="F36" s="2"/>
      <c r="G36" s="3"/>
    </row>
    <row r="37" spans="1:7" ht="12.5" x14ac:dyDescent="0.25">
      <c r="A37" s="2" t="s">
        <v>10</v>
      </c>
      <c r="B37" s="3">
        <v>3</v>
      </c>
      <c r="C37" s="3">
        <v>7</v>
      </c>
      <c r="D37" s="3">
        <f t="shared" si="7"/>
        <v>35</v>
      </c>
      <c r="E37" s="3">
        <f t="shared" si="8"/>
        <v>105</v>
      </c>
      <c r="F37" s="2"/>
      <c r="G37" s="3"/>
    </row>
    <row r="38" spans="1:7" ht="12.5" x14ac:dyDescent="0.25">
      <c r="A38" s="2" t="s">
        <v>11</v>
      </c>
      <c r="B38" s="3">
        <v>0</v>
      </c>
      <c r="C38" s="3">
        <f>D38/5</f>
        <v>5</v>
      </c>
      <c r="D38" s="3">
        <v>25</v>
      </c>
      <c r="E38" s="3">
        <f t="shared" si="8"/>
        <v>0</v>
      </c>
      <c r="F38" s="2"/>
      <c r="G38" s="3"/>
    </row>
    <row r="39" spans="1:7" ht="12.5" x14ac:dyDescent="0.25">
      <c r="A39" s="2" t="s">
        <v>12</v>
      </c>
      <c r="B39" s="3">
        <f>SUM(B33,B34,B35,B36,B37,B38)</f>
        <v>15</v>
      </c>
      <c r="C39" s="2"/>
      <c r="D39" s="2"/>
      <c r="E39" s="3">
        <f>SUM(E33:E38)</f>
        <v>695</v>
      </c>
      <c r="F39" s="2" t="s">
        <v>13</v>
      </c>
      <c r="G39" s="3">
        <f t="shared" si="4"/>
        <v>46.333333333333336</v>
      </c>
    </row>
    <row r="40" spans="1:7" ht="15.75" customHeight="1" x14ac:dyDescent="0.25">
      <c r="G40" s="3"/>
    </row>
    <row r="41" spans="1:7" ht="12.5" x14ac:dyDescent="0.25">
      <c r="A41" s="1" t="s">
        <v>17</v>
      </c>
      <c r="G41" s="3"/>
    </row>
    <row r="42" spans="1:7" ht="15.75" customHeight="1" x14ac:dyDescent="0.25">
      <c r="G42" s="3"/>
    </row>
    <row r="43" spans="1:7" ht="12.5" x14ac:dyDescent="0.25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/>
      <c r="G43" s="3"/>
    </row>
    <row r="44" spans="1:7" ht="12.5" x14ac:dyDescent="0.25">
      <c r="A44" s="2" t="s">
        <v>6</v>
      </c>
      <c r="B44" s="3">
        <v>2</v>
      </c>
      <c r="C44" s="3">
        <v>3</v>
      </c>
      <c r="D44" s="3">
        <f>PRODUCT(C44,5)</f>
        <v>15</v>
      </c>
      <c r="E44" s="3">
        <f>PRODUCT(B44,D44)</f>
        <v>30</v>
      </c>
      <c r="F44" s="2"/>
      <c r="G44" s="3"/>
    </row>
    <row r="45" spans="1:7" ht="12.5" x14ac:dyDescent="0.25">
      <c r="A45" s="2" t="s">
        <v>7</v>
      </c>
      <c r="B45" s="3">
        <v>5</v>
      </c>
      <c r="C45" s="3">
        <v>8</v>
      </c>
      <c r="D45" s="3">
        <f t="shared" ref="D45:D48" si="9">PRODUCT(C45,5)</f>
        <v>40</v>
      </c>
      <c r="E45" s="3">
        <f t="shared" ref="E45:E49" si="10">PRODUCT(B45,D45)</f>
        <v>200</v>
      </c>
      <c r="F45" s="2"/>
      <c r="G45" s="3"/>
    </row>
    <row r="46" spans="1:7" ht="12.5" x14ac:dyDescent="0.25">
      <c r="A46" s="2" t="s">
        <v>8</v>
      </c>
      <c r="B46" s="3">
        <v>0</v>
      </c>
      <c r="C46" s="3">
        <v>10</v>
      </c>
      <c r="D46" s="3">
        <f t="shared" si="9"/>
        <v>50</v>
      </c>
      <c r="E46" s="3">
        <f t="shared" si="10"/>
        <v>0</v>
      </c>
      <c r="F46" s="2"/>
      <c r="G46" s="3"/>
    </row>
    <row r="47" spans="1:7" ht="12.5" x14ac:dyDescent="0.25">
      <c r="A47" s="2" t="s">
        <v>9</v>
      </c>
      <c r="B47" s="3">
        <v>3</v>
      </c>
      <c r="C47" s="3">
        <v>20</v>
      </c>
      <c r="D47" s="3">
        <f t="shared" si="9"/>
        <v>100</v>
      </c>
      <c r="E47" s="3">
        <f t="shared" si="10"/>
        <v>300</v>
      </c>
      <c r="F47" s="2"/>
      <c r="G47" s="3"/>
    </row>
    <row r="48" spans="1:7" ht="12.5" x14ac:dyDescent="0.25">
      <c r="A48" s="2" t="s">
        <v>10</v>
      </c>
      <c r="B48" s="3">
        <v>4</v>
      </c>
      <c r="C48" s="3">
        <v>9</v>
      </c>
      <c r="D48" s="3">
        <f t="shared" si="9"/>
        <v>45</v>
      </c>
      <c r="E48" s="3">
        <f t="shared" si="10"/>
        <v>180</v>
      </c>
      <c r="F48" s="2"/>
      <c r="G48" s="3"/>
    </row>
    <row r="49" spans="1:7" ht="12.5" x14ac:dyDescent="0.25">
      <c r="A49" s="2" t="s">
        <v>11</v>
      </c>
      <c r="B49" s="3">
        <v>1</v>
      </c>
      <c r="C49" s="3">
        <f>D49/5</f>
        <v>3</v>
      </c>
      <c r="D49" s="3">
        <v>15</v>
      </c>
      <c r="E49" s="3">
        <f t="shared" si="10"/>
        <v>15</v>
      </c>
      <c r="F49" s="2"/>
      <c r="G49" s="3"/>
    </row>
    <row r="50" spans="1:7" ht="12.5" x14ac:dyDescent="0.25">
      <c r="A50" s="2" t="s">
        <v>12</v>
      </c>
      <c r="B50" s="3">
        <f>SUM(B44,B45,B46,B47,B48,B49)</f>
        <v>15</v>
      </c>
      <c r="C50" s="2"/>
      <c r="D50" s="2"/>
      <c r="E50" s="3">
        <f>SUM(E44:E49)</f>
        <v>725</v>
      </c>
      <c r="F50" s="2" t="s">
        <v>13</v>
      </c>
      <c r="G50" s="3">
        <f t="shared" si="4"/>
        <v>48.333333333333336</v>
      </c>
    </row>
    <row r="51" spans="1:7" ht="15.75" customHeight="1" x14ac:dyDescent="0.25">
      <c r="G51" s="3"/>
    </row>
    <row r="52" spans="1:7" ht="12.5" x14ac:dyDescent="0.25">
      <c r="A52" s="1" t="s">
        <v>18</v>
      </c>
      <c r="G52" s="3"/>
    </row>
    <row r="53" spans="1:7" ht="15.75" customHeight="1" x14ac:dyDescent="0.25">
      <c r="G53" s="3"/>
    </row>
    <row r="54" spans="1:7" ht="12.5" x14ac:dyDescent="0.25">
      <c r="A54" s="2" t="s">
        <v>1</v>
      </c>
      <c r="B54" s="2" t="s">
        <v>2</v>
      </c>
      <c r="C54" s="2" t="s">
        <v>3</v>
      </c>
      <c r="D54" s="2" t="s">
        <v>4</v>
      </c>
      <c r="E54" s="2" t="s">
        <v>5</v>
      </c>
      <c r="F54" s="2"/>
      <c r="G54" s="3"/>
    </row>
    <row r="55" spans="1:7" ht="12.5" x14ac:dyDescent="0.25">
      <c r="A55" s="2" t="s">
        <v>6</v>
      </c>
      <c r="B55" s="3">
        <v>5</v>
      </c>
      <c r="C55" s="3">
        <v>10</v>
      </c>
      <c r="D55" s="3">
        <f>PRODUCT(C55,5)</f>
        <v>50</v>
      </c>
      <c r="E55" s="3">
        <f>PRODUCT(B55,D55)</f>
        <v>250</v>
      </c>
      <c r="F55" s="2"/>
      <c r="G55" s="3"/>
    </row>
    <row r="56" spans="1:7" ht="12.5" x14ac:dyDescent="0.25">
      <c r="A56" s="2" t="s">
        <v>7</v>
      </c>
      <c r="B56" s="3">
        <v>3</v>
      </c>
      <c r="C56" s="3">
        <v>10</v>
      </c>
      <c r="D56" s="3">
        <f t="shared" ref="D56:D59" si="11">PRODUCT(C56,5)</f>
        <v>50</v>
      </c>
      <c r="E56" s="3">
        <f t="shared" ref="E56:E60" si="12">PRODUCT(B56,D56)</f>
        <v>150</v>
      </c>
      <c r="F56" s="2"/>
      <c r="G56" s="3"/>
    </row>
    <row r="57" spans="1:7" ht="12.5" x14ac:dyDescent="0.25">
      <c r="A57" s="2" t="s">
        <v>8</v>
      </c>
      <c r="B57" s="3">
        <v>4</v>
      </c>
      <c r="C57" s="3">
        <v>16</v>
      </c>
      <c r="D57" s="3">
        <f t="shared" si="11"/>
        <v>80</v>
      </c>
      <c r="E57" s="3">
        <f t="shared" si="12"/>
        <v>320</v>
      </c>
      <c r="F57" s="2"/>
      <c r="G57" s="3"/>
    </row>
    <row r="58" spans="1:7" ht="12.5" x14ac:dyDescent="0.25">
      <c r="A58" s="2" t="s">
        <v>9</v>
      </c>
      <c r="B58" s="3">
        <v>2</v>
      </c>
      <c r="C58" s="3">
        <v>17</v>
      </c>
      <c r="D58" s="3">
        <f t="shared" si="11"/>
        <v>85</v>
      </c>
      <c r="E58" s="3">
        <f t="shared" si="12"/>
        <v>170</v>
      </c>
      <c r="F58" s="2"/>
      <c r="G58" s="3"/>
    </row>
    <row r="59" spans="1:7" ht="12.5" x14ac:dyDescent="0.25">
      <c r="A59" s="2" t="s">
        <v>10</v>
      </c>
      <c r="B59" s="3">
        <v>1</v>
      </c>
      <c r="C59" s="3">
        <v>5</v>
      </c>
      <c r="D59" s="3">
        <f t="shared" si="11"/>
        <v>25</v>
      </c>
      <c r="E59" s="3">
        <f t="shared" si="12"/>
        <v>25</v>
      </c>
      <c r="F59" s="2"/>
      <c r="G59" s="3"/>
    </row>
    <row r="60" spans="1:7" ht="12.5" x14ac:dyDescent="0.25">
      <c r="A60" s="2" t="s">
        <v>11</v>
      </c>
      <c r="B60" s="3">
        <v>0</v>
      </c>
      <c r="C60" s="3">
        <f>D60/5</f>
        <v>5</v>
      </c>
      <c r="D60" s="3">
        <v>25</v>
      </c>
      <c r="E60" s="3">
        <f t="shared" si="12"/>
        <v>0</v>
      </c>
      <c r="F60" s="2"/>
      <c r="G60" s="3"/>
    </row>
    <row r="61" spans="1:7" ht="12.5" x14ac:dyDescent="0.25">
      <c r="A61" s="2" t="s">
        <v>12</v>
      </c>
      <c r="B61" s="3">
        <f>SUM(B55,B56,B57,B58,B59,B60)</f>
        <v>15</v>
      </c>
      <c r="C61" s="2"/>
      <c r="D61" s="2"/>
      <c r="E61" s="3">
        <f>SUM(E55:E60)</f>
        <v>915</v>
      </c>
      <c r="F61" s="2" t="s">
        <v>13</v>
      </c>
      <c r="G61" s="3">
        <f t="shared" si="4"/>
        <v>61</v>
      </c>
    </row>
    <row r="62" spans="1:7" ht="12.5" x14ac:dyDescent="0.25">
      <c r="A62" s="2"/>
      <c r="B62" s="2"/>
      <c r="C62" s="2"/>
      <c r="D62" s="2"/>
      <c r="E62" s="2"/>
      <c r="F62" s="2"/>
      <c r="G62" s="3"/>
    </row>
    <row r="63" spans="1:7" ht="12.5" x14ac:dyDescent="0.25">
      <c r="A63" s="2" t="s">
        <v>19</v>
      </c>
      <c r="B63" s="2"/>
      <c r="C63" s="2"/>
      <c r="D63" s="2"/>
      <c r="E63" s="2"/>
      <c r="F63" s="2"/>
      <c r="G63" s="3"/>
    </row>
    <row r="64" spans="1:7" ht="12.5" x14ac:dyDescent="0.25">
      <c r="A64" s="2"/>
      <c r="B64" s="2"/>
      <c r="C64" s="2"/>
      <c r="D64" s="2"/>
      <c r="E64" s="2"/>
      <c r="F64" s="2"/>
      <c r="G64" s="3"/>
    </row>
    <row r="65" spans="1:7" ht="12.5" x14ac:dyDescent="0.25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/>
      <c r="G65" s="3"/>
    </row>
    <row r="66" spans="1:7" ht="12.5" x14ac:dyDescent="0.25">
      <c r="A66" s="2" t="s">
        <v>6</v>
      </c>
      <c r="B66" s="3">
        <v>5</v>
      </c>
      <c r="C66" s="3">
        <v>10</v>
      </c>
      <c r="D66" s="3">
        <f>PRODUCT(C66,5)</f>
        <v>50</v>
      </c>
      <c r="E66" s="3">
        <f>PRODUCT(B66,D66)</f>
        <v>250</v>
      </c>
      <c r="F66" s="2"/>
      <c r="G66" s="3"/>
    </row>
    <row r="67" spans="1:7" ht="12.5" x14ac:dyDescent="0.25">
      <c r="A67" s="2" t="s">
        <v>7</v>
      </c>
      <c r="B67" s="3">
        <v>1</v>
      </c>
      <c r="C67" s="3">
        <v>1</v>
      </c>
      <c r="D67" s="3">
        <f t="shared" ref="D67:D70" si="13">PRODUCT(C67,5)</f>
        <v>5</v>
      </c>
      <c r="E67" s="3">
        <f t="shared" ref="E67:E71" si="14">PRODUCT(B67,D67)</f>
        <v>5</v>
      </c>
      <c r="F67" s="2"/>
      <c r="G67" s="3"/>
    </row>
    <row r="68" spans="1:7" ht="12.5" x14ac:dyDescent="0.25">
      <c r="A68" s="2" t="s">
        <v>8</v>
      </c>
      <c r="B68" s="3">
        <v>4</v>
      </c>
      <c r="C68" s="3">
        <v>3</v>
      </c>
      <c r="D68" s="3">
        <f t="shared" si="13"/>
        <v>15</v>
      </c>
      <c r="E68" s="3">
        <f t="shared" si="14"/>
        <v>60</v>
      </c>
      <c r="F68" s="2"/>
      <c r="G68" s="3"/>
    </row>
    <row r="69" spans="1:7" ht="12.5" x14ac:dyDescent="0.25">
      <c r="A69" s="2" t="s">
        <v>9</v>
      </c>
      <c r="B69" s="3">
        <v>3</v>
      </c>
      <c r="C69" s="3">
        <v>12</v>
      </c>
      <c r="D69" s="3">
        <f t="shared" si="13"/>
        <v>60</v>
      </c>
      <c r="E69" s="3">
        <f t="shared" si="14"/>
        <v>180</v>
      </c>
      <c r="F69" s="2"/>
      <c r="G69" s="3"/>
    </row>
    <row r="70" spans="1:7" ht="12.5" x14ac:dyDescent="0.25">
      <c r="A70" s="2" t="s">
        <v>10</v>
      </c>
      <c r="B70" s="3">
        <v>2</v>
      </c>
      <c r="C70" s="3">
        <v>2</v>
      </c>
      <c r="D70" s="3">
        <f t="shared" si="13"/>
        <v>10</v>
      </c>
      <c r="E70" s="3">
        <f t="shared" si="14"/>
        <v>20</v>
      </c>
      <c r="F70" s="2"/>
      <c r="G70" s="3"/>
    </row>
    <row r="71" spans="1:7" ht="12.5" x14ac:dyDescent="0.25">
      <c r="A71" s="2" t="s">
        <v>11</v>
      </c>
      <c r="B71" s="3">
        <v>0</v>
      </c>
      <c r="C71" s="3">
        <f>D71/5</f>
        <v>1</v>
      </c>
      <c r="D71" s="3">
        <v>5</v>
      </c>
      <c r="E71" s="3">
        <f t="shared" si="14"/>
        <v>0</v>
      </c>
      <c r="F71" s="2"/>
      <c r="G71" s="3"/>
    </row>
    <row r="72" spans="1:7" ht="12.5" x14ac:dyDescent="0.25">
      <c r="A72" s="2" t="s">
        <v>12</v>
      </c>
      <c r="B72" s="3">
        <f>SUM(B66,B67,B68,B69,B70,B71)</f>
        <v>15</v>
      </c>
      <c r="C72" s="2"/>
      <c r="D72" s="2"/>
      <c r="E72" s="3">
        <f>SUM(E66:E71)</f>
        <v>515</v>
      </c>
      <c r="F72" s="2" t="s">
        <v>13</v>
      </c>
      <c r="G72" s="3">
        <f t="shared" si="4"/>
        <v>34.333333333333336</v>
      </c>
    </row>
    <row r="73" spans="1:7" ht="12.5" x14ac:dyDescent="0.25">
      <c r="A73" s="2"/>
      <c r="B73" s="2"/>
      <c r="C73" s="2"/>
      <c r="D73" s="2"/>
      <c r="E73" s="2"/>
      <c r="F73" s="2"/>
      <c r="G73" s="3"/>
    </row>
    <row r="74" spans="1:7" ht="12.5" x14ac:dyDescent="0.25">
      <c r="A74" s="2" t="s">
        <v>20</v>
      </c>
      <c r="B74" s="2"/>
      <c r="C74" s="2"/>
      <c r="D74" s="2"/>
      <c r="E74" s="2"/>
      <c r="F74" s="2"/>
      <c r="G74" s="3"/>
    </row>
    <row r="75" spans="1:7" ht="12.5" x14ac:dyDescent="0.25">
      <c r="A75" s="2"/>
      <c r="B75" s="2"/>
      <c r="C75" s="2"/>
      <c r="D75" s="2"/>
      <c r="E75" s="2"/>
      <c r="F75" s="2"/>
      <c r="G75" s="3"/>
    </row>
    <row r="76" spans="1:7" ht="12.5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/>
      <c r="G76" s="3"/>
    </row>
    <row r="77" spans="1:7" ht="12.5" x14ac:dyDescent="0.25">
      <c r="A77" s="2" t="s">
        <v>6</v>
      </c>
      <c r="B77" s="3">
        <v>3</v>
      </c>
      <c r="C77" s="3">
        <v>4</v>
      </c>
      <c r="D77" s="3">
        <f>PRODUCT(C77,5)</f>
        <v>20</v>
      </c>
      <c r="E77" s="3">
        <f>PRODUCT(B77,D77)</f>
        <v>60</v>
      </c>
      <c r="F77" s="2"/>
      <c r="G77" s="3"/>
    </row>
    <row r="78" spans="1:7" ht="12.5" x14ac:dyDescent="0.25">
      <c r="A78" s="2" t="s">
        <v>7</v>
      </c>
      <c r="B78" s="3">
        <v>2</v>
      </c>
      <c r="C78" s="3">
        <v>3</v>
      </c>
      <c r="D78" s="3">
        <f t="shared" ref="D78:D81" si="15">PRODUCT(C78,5)</f>
        <v>15</v>
      </c>
      <c r="E78" s="3">
        <f t="shared" ref="E78:E82" si="16">PRODUCT(B78,D78)</f>
        <v>30</v>
      </c>
      <c r="F78" s="2"/>
      <c r="G78" s="3"/>
    </row>
    <row r="79" spans="1:7" ht="12.5" x14ac:dyDescent="0.25">
      <c r="A79" s="2" t="s">
        <v>8</v>
      </c>
      <c r="B79" s="3">
        <v>4</v>
      </c>
      <c r="C79" s="3">
        <v>2</v>
      </c>
      <c r="D79" s="3">
        <f t="shared" si="15"/>
        <v>10</v>
      </c>
      <c r="E79" s="3">
        <f t="shared" si="16"/>
        <v>40</v>
      </c>
      <c r="F79" s="2"/>
      <c r="G79" s="3"/>
    </row>
    <row r="80" spans="1:7" ht="12.5" x14ac:dyDescent="0.25">
      <c r="A80" s="2" t="s">
        <v>9</v>
      </c>
      <c r="B80" s="3">
        <v>4</v>
      </c>
      <c r="C80" s="3">
        <v>4</v>
      </c>
      <c r="D80" s="3">
        <f t="shared" si="15"/>
        <v>20</v>
      </c>
      <c r="E80" s="3">
        <f t="shared" si="16"/>
        <v>80</v>
      </c>
      <c r="F80" s="2"/>
      <c r="G80" s="3"/>
    </row>
    <row r="81" spans="1:7" ht="12.5" x14ac:dyDescent="0.25">
      <c r="A81" s="2" t="s">
        <v>10</v>
      </c>
      <c r="B81" s="3">
        <v>2</v>
      </c>
      <c r="C81" s="3">
        <v>6</v>
      </c>
      <c r="D81" s="3">
        <f t="shared" si="15"/>
        <v>30</v>
      </c>
      <c r="E81" s="3">
        <f t="shared" si="16"/>
        <v>60</v>
      </c>
      <c r="F81" s="2"/>
      <c r="G81" s="3"/>
    </row>
    <row r="82" spans="1:7" ht="12.5" x14ac:dyDescent="0.25">
      <c r="A82" s="2" t="s">
        <v>11</v>
      </c>
      <c r="B82" s="3">
        <v>0</v>
      </c>
      <c r="C82" s="3">
        <f>D82/5</f>
        <v>4</v>
      </c>
      <c r="D82" s="3">
        <v>20</v>
      </c>
      <c r="E82" s="3">
        <f t="shared" si="16"/>
        <v>0</v>
      </c>
      <c r="F82" s="2"/>
      <c r="G82" s="3"/>
    </row>
    <row r="83" spans="1:7" ht="12.5" x14ac:dyDescent="0.25">
      <c r="A83" s="2" t="s">
        <v>12</v>
      </c>
      <c r="B83" s="3">
        <f>SUM(B77,B78,B79,B80,B81,B82)</f>
        <v>15</v>
      </c>
      <c r="C83" s="2"/>
      <c r="D83" s="2"/>
      <c r="E83" s="3">
        <f>SUM(E77:E82)</f>
        <v>270</v>
      </c>
      <c r="F83" s="2" t="s">
        <v>13</v>
      </c>
      <c r="G83" s="3">
        <f t="shared" ref="G83:G105" si="17">E83/B83</f>
        <v>18</v>
      </c>
    </row>
    <row r="84" spans="1:7" ht="12.5" x14ac:dyDescent="0.25">
      <c r="A84" s="2"/>
      <c r="B84" s="2"/>
      <c r="C84" s="2"/>
      <c r="D84" s="2"/>
      <c r="E84" s="2"/>
      <c r="F84" s="2"/>
      <c r="G84" s="3"/>
    </row>
    <row r="85" spans="1:7" ht="12.5" x14ac:dyDescent="0.25">
      <c r="A85" s="2" t="s">
        <v>21</v>
      </c>
      <c r="B85" s="2"/>
      <c r="C85" s="2"/>
      <c r="D85" s="2"/>
      <c r="E85" s="2"/>
      <c r="F85" s="2"/>
      <c r="G85" s="3"/>
    </row>
    <row r="86" spans="1:7" ht="12.5" x14ac:dyDescent="0.25">
      <c r="A86" s="2"/>
      <c r="B86" s="2"/>
      <c r="C86" s="2"/>
      <c r="D86" s="2"/>
      <c r="E86" s="2"/>
      <c r="F86" s="2"/>
      <c r="G86" s="3"/>
    </row>
    <row r="87" spans="1:7" ht="12.5" x14ac:dyDescent="0.25">
      <c r="A87" s="2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/>
      <c r="G87" s="3"/>
    </row>
    <row r="88" spans="1:7" ht="12.5" x14ac:dyDescent="0.25">
      <c r="A88" s="2" t="s">
        <v>6</v>
      </c>
      <c r="B88" s="3">
        <v>3</v>
      </c>
      <c r="C88" s="3">
        <v>1</v>
      </c>
      <c r="D88" s="3">
        <f>PRODUCT(C88,5)</f>
        <v>5</v>
      </c>
      <c r="E88" s="3">
        <f>PRODUCT(B88,D88)</f>
        <v>15</v>
      </c>
      <c r="F88" s="2"/>
      <c r="G88" s="3"/>
    </row>
    <row r="89" spans="1:7" ht="12.5" x14ac:dyDescent="0.25">
      <c r="A89" s="2" t="s">
        <v>7</v>
      </c>
      <c r="B89" s="3">
        <v>2</v>
      </c>
      <c r="C89" s="3">
        <v>1</v>
      </c>
      <c r="D89" s="3">
        <f t="shared" ref="D89:D92" si="18">PRODUCT(C89,5)</f>
        <v>5</v>
      </c>
      <c r="E89" s="3">
        <f t="shared" ref="E89:E93" si="19">PRODUCT(B89,D89)</f>
        <v>10</v>
      </c>
      <c r="F89" s="2"/>
      <c r="G89" s="3"/>
    </row>
    <row r="90" spans="1:7" ht="12.5" x14ac:dyDescent="0.25">
      <c r="A90" s="2" t="s">
        <v>8</v>
      </c>
      <c r="B90" s="3">
        <v>5</v>
      </c>
      <c r="C90" s="3">
        <v>5</v>
      </c>
      <c r="D90" s="3">
        <f t="shared" si="18"/>
        <v>25</v>
      </c>
      <c r="E90" s="3">
        <f t="shared" si="19"/>
        <v>125</v>
      </c>
      <c r="F90" s="2"/>
      <c r="G90" s="3"/>
    </row>
    <row r="91" spans="1:7" ht="12.5" x14ac:dyDescent="0.25">
      <c r="A91" s="2" t="s">
        <v>9</v>
      </c>
      <c r="B91" s="3">
        <v>4</v>
      </c>
      <c r="C91" s="3">
        <v>20</v>
      </c>
      <c r="D91" s="3">
        <f t="shared" si="18"/>
        <v>100</v>
      </c>
      <c r="E91" s="3">
        <f t="shared" si="19"/>
        <v>400</v>
      </c>
      <c r="F91" s="2"/>
      <c r="G91" s="3"/>
    </row>
    <row r="92" spans="1:7" ht="12.5" x14ac:dyDescent="0.25">
      <c r="A92" s="2" t="s">
        <v>10</v>
      </c>
      <c r="B92" s="3">
        <v>0</v>
      </c>
      <c r="C92" s="3">
        <v>5</v>
      </c>
      <c r="D92" s="3">
        <f t="shared" si="18"/>
        <v>25</v>
      </c>
      <c r="E92" s="3">
        <f t="shared" si="19"/>
        <v>0</v>
      </c>
      <c r="F92" s="2"/>
      <c r="G92" s="3"/>
    </row>
    <row r="93" spans="1:7" ht="12.5" x14ac:dyDescent="0.25">
      <c r="A93" s="2" t="s">
        <v>11</v>
      </c>
      <c r="B93" s="3">
        <v>1</v>
      </c>
      <c r="C93" s="3">
        <f>D93/5</f>
        <v>1</v>
      </c>
      <c r="D93" s="3">
        <v>5</v>
      </c>
      <c r="E93" s="3">
        <f t="shared" si="19"/>
        <v>5</v>
      </c>
      <c r="F93" s="2"/>
      <c r="G93" s="3"/>
    </row>
    <row r="94" spans="1:7" ht="12.5" x14ac:dyDescent="0.25">
      <c r="A94" s="2" t="s">
        <v>12</v>
      </c>
      <c r="B94" s="3">
        <f>SUM(B88,B89,B90,B91,B92,B93)</f>
        <v>15</v>
      </c>
      <c r="C94" s="2"/>
      <c r="D94" s="2"/>
      <c r="E94" s="3">
        <f>SUM(E88:E93)</f>
        <v>555</v>
      </c>
      <c r="F94" s="2" t="s">
        <v>13</v>
      </c>
      <c r="G94" s="3">
        <f t="shared" si="17"/>
        <v>37</v>
      </c>
    </row>
    <row r="95" spans="1:7" ht="12.5" x14ac:dyDescent="0.25">
      <c r="A95" s="2"/>
      <c r="B95" s="2"/>
      <c r="C95" s="2"/>
      <c r="D95" s="2"/>
      <c r="E95" s="2"/>
      <c r="F95" s="2"/>
      <c r="G95" s="3"/>
    </row>
    <row r="96" spans="1:7" ht="12.5" x14ac:dyDescent="0.25">
      <c r="A96" s="2" t="s">
        <v>23</v>
      </c>
      <c r="B96" s="2"/>
      <c r="C96" s="2"/>
      <c r="D96" s="2"/>
      <c r="E96" s="2"/>
      <c r="F96" s="2"/>
      <c r="G96" s="3"/>
    </row>
    <row r="97" spans="1:7" ht="12.5" x14ac:dyDescent="0.25">
      <c r="A97" s="2"/>
      <c r="B97" s="2"/>
      <c r="C97" s="2"/>
      <c r="D97" s="2"/>
      <c r="E97" s="2"/>
      <c r="F97" s="2"/>
      <c r="G97" s="3"/>
    </row>
    <row r="98" spans="1:7" ht="12.5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/>
      <c r="G98" s="3"/>
    </row>
    <row r="99" spans="1:7" ht="12.5" x14ac:dyDescent="0.25">
      <c r="A99" s="2" t="s">
        <v>6</v>
      </c>
      <c r="B99" s="3">
        <v>2</v>
      </c>
      <c r="C99" s="3">
        <v>3</v>
      </c>
      <c r="D99" s="3">
        <f>PRODUCT(C99,5)</f>
        <v>15</v>
      </c>
      <c r="E99" s="3">
        <f>PRODUCT(B99,D99)</f>
        <v>30</v>
      </c>
      <c r="F99" s="2"/>
      <c r="G99" s="3"/>
    </row>
    <row r="100" spans="1:7" ht="12.5" x14ac:dyDescent="0.25">
      <c r="A100" s="2" t="s">
        <v>7</v>
      </c>
      <c r="B100" s="3">
        <v>2</v>
      </c>
      <c r="C100" s="3">
        <v>5</v>
      </c>
      <c r="D100" s="3">
        <f t="shared" ref="D100:D103" si="20">PRODUCT(C100,5)</f>
        <v>25</v>
      </c>
      <c r="E100" s="3">
        <f t="shared" ref="E100:E104" si="21">PRODUCT(B100,D100)</f>
        <v>50</v>
      </c>
      <c r="F100" s="2"/>
      <c r="G100" s="3"/>
    </row>
    <row r="101" spans="1:7" ht="12.5" x14ac:dyDescent="0.25">
      <c r="A101" s="2" t="s">
        <v>8</v>
      </c>
      <c r="B101" s="3">
        <v>4</v>
      </c>
      <c r="C101" s="3">
        <v>1</v>
      </c>
      <c r="D101" s="3">
        <f t="shared" si="20"/>
        <v>5</v>
      </c>
      <c r="E101" s="3">
        <f t="shared" si="21"/>
        <v>20</v>
      </c>
      <c r="F101" s="2"/>
      <c r="G101" s="3"/>
    </row>
    <row r="102" spans="1:7" ht="12.5" x14ac:dyDescent="0.25">
      <c r="A102" s="2" t="s">
        <v>9</v>
      </c>
      <c r="B102" s="3">
        <v>4</v>
      </c>
      <c r="C102" s="3">
        <v>7</v>
      </c>
      <c r="D102" s="3">
        <f t="shared" si="20"/>
        <v>35</v>
      </c>
      <c r="E102" s="3">
        <f t="shared" si="21"/>
        <v>140</v>
      </c>
      <c r="F102" s="2"/>
      <c r="G102" s="3"/>
    </row>
    <row r="103" spans="1:7" ht="12.5" x14ac:dyDescent="0.25">
      <c r="A103" s="2" t="s">
        <v>10</v>
      </c>
      <c r="B103" s="3">
        <v>2</v>
      </c>
      <c r="C103" s="3">
        <v>7</v>
      </c>
      <c r="D103" s="3">
        <f t="shared" si="20"/>
        <v>35</v>
      </c>
      <c r="E103" s="3">
        <f t="shared" si="21"/>
        <v>70</v>
      </c>
      <c r="F103" s="2"/>
      <c r="G103" s="3"/>
    </row>
    <row r="104" spans="1:7" ht="12.5" x14ac:dyDescent="0.25">
      <c r="A104" s="2" t="s">
        <v>11</v>
      </c>
      <c r="B104" s="3">
        <v>1</v>
      </c>
      <c r="C104" s="3">
        <f>D104/5</f>
        <v>2</v>
      </c>
      <c r="D104" s="3">
        <v>10</v>
      </c>
      <c r="E104" s="3">
        <f t="shared" si="21"/>
        <v>10</v>
      </c>
      <c r="F104" s="2"/>
      <c r="G104" s="3"/>
    </row>
    <row r="105" spans="1:7" ht="12.5" x14ac:dyDescent="0.25">
      <c r="A105" s="2" t="s">
        <v>12</v>
      </c>
      <c r="B105" s="3">
        <f>SUM(B99,B100,B101,B102,B103,B104)</f>
        <v>15</v>
      </c>
      <c r="C105" s="2"/>
      <c r="D105" s="2"/>
      <c r="E105" s="3">
        <f>SUM(E99:E104)</f>
        <v>320</v>
      </c>
      <c r="F105" s="2" t="s">
        <v>13</v>
      </c>
      <c r="G105" s="3">
        <f t="shared" si="17"/>
        <v>21.333333333333332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8"/>
  <sheetViews>
    <sheetView topLeftCell="A6" workbookViewId="0">
      <selection activeCell="I4" sqref="I4"/>
    </sheetView>
  </sheetViews>
  <sheetFormatPr defaultColWidth="12.54296875" defaultRowHeight="15.75" customHeight="1" x14ac:dyDescent="0.25"/>
  <cols>
    <col min="4" max="4" width="26.7265625" customWidth="1"/>
    <col min="5" max="5" width="26.453125" customWidth="1"/>
  </cols>
  <sheetData>
    <row r="1" spans="1:7" ht="12.5" x14ac:dyDescent="0.25">
      <c r="A1" s="1" t="s">
        <v>0</v>
      </c>
    </row>
    <row r="2" spans="1:7" ht="12.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</row>
    <row r="3" spans="1:7" ht="12.5" x14ac:dyDescent="0.25">
      <c r="A3" s="2" t="s">
        <v>6</v>
      </c>
      <c r="B3" s="3">
        <v>3</v>
      </c>
      <c r="C3" s="3">
        <v>10</v>
      </c>
      <c r="D3" s="3">
        <f>PRODUCT(C3,5)</f>
        <v>50</v>
      </c>
      <c r="E3" s="3">
        <f>PRODUCT(B3,D3)</f>
        <v>150</v>
      </c>
      <c r="F3" s="2"/>
      <c r="G3" s="2"/>
    </row>
    <row r="4" spans="1:7" ht="12.5" x14ac:dyDescent="0.25">
      <c r="A4" s="2" t="s">
        <v>7</v>
      </c>
      <c r="B4" s="3">
        <v>1</v>
      </c>
      <c r="C4" s="3">
        <v>5</v>
      </c>
      <c r="D4" s="3">
        <f t="shared" ref="D4:D7" si="0">PRODUCT(C4,5)</f>
        <v>25</v>
      </c>
      <c r="E4" s="3">
        <f t="shared" ref="E4:E8" si="1">PRODUCT(B4,D4)</f>
        <v>25</v>
      </c>
      <c r="F4" s="2"/>
      <c r="G4" s="2"/>
    </row>
    <row r="5" spans="1:7" ht="12.5" x14ac:dyDescent="0.25">
      <c r="A5" s="2" t="s">
        <v>8</v>
      </c>
      <c r="B5" s="3">
        <v>0</v>
      </c>
      <c r="C5" s="3">
        <v>12</v>
      </c>
      <c r="D5" s="3">
        <f t="shared" si="0"/>
        <v>60</v>
      </c>
      <c r="E5" s="3">
        <f t="shared" si="1"/>
        <v>0</v>
      </c>
      <c r="F5" s="2"/>
      <c r="G5" s="2"/>
    </row>
    <row r="6" spans="1:7" ht="12.5" x14ac:dyDescent="0.25">
      <c r="A6" s="2" t="s">
        <v>9</v>
      </c>
      <c r="B6" s="3">
        <v>5</v>
      </c>
      <c r="C6" s="3">
        <v>5</v>
      </c>
      <c r="D6" s="3">
        <f t="shared" si="0"/>
        <v>25</v>
      </c>
      <c r="E6" s="3">
        <f t="shared" si="1"/>
        <v>125</v>
      </c>
      <c r="F6" s="2"/>
      <c r="G6" s="2"/>
    </row>
    <row r="7" spans="1:7" ht="12.5" x14ac:dyDescent="0.25">
      <c r="A7" s="2" t="s">
        <v>10</v>
      </c>
      <c r="B7" s="3">
        <v>3</v>
      </c>
      <c r="C7" s="3">
        <v>8</v>
      </c>
      <c r="D7" s="3">
        <f t="shared" si="0"/>
        <v>40</v>
      </c>
      <c r="E7" s="3">
        <f t="shared" si="1"/>
        <v>120</v>
      </c>
      <c r="F7" s="2"/>
      <c r="G7" s="2"/>
    </row>
    <row r="8" spans="1:7" ht="12.5" x14ac:dyDescent="0.25">
      <c r="A8" s="2" t="s">
        <v>11</v>
      </c>
      <c r="B8" s="3">
        <v>3</v>
      </c>
      <c r="C8" s="3">
        <f>D8/5</f>
        <v>10</v>
      </c>
      <c r="D8" s="3">
        <v>50</v>
      </c>
      <c r="E8" s="3">
        <f t="shared" si="1"/>
        <v>150</v>
      </c>
      <c r="F8" s="2"/>
      <c r="G8" s="2"/>
    </row>
    <row r="9" spans="1:7" ht="12.5" x14ac:dyDescent="0.25">
      <c r="A9" s="2" t="s">
        <v>12</v>
      </c>
      <c r="B9" s="3">
        <f>SUM(B3,B4,B5,B6,B7,B8)</f>
        <v>15</v>
      </c>
      <c r="C9" s="2"/>
      <c r="D9" s="2"/>
      <c r="E9" s="3">
        <f>SUM(E3:E8)</f>
        <v>570</v>
      </c>
      <c r="F9" s="2" t="s">
        <v>13</v>
      </c>
      <c r="G9" s="3">
        <f>E9/B9</f>
        <v>38</v>
      </c>
    </row>
    <row r="10" spans="1:7" ht="12.5" x14ac:dyDescent="0.25">
      <c r="A10" s="2"/>
      <c r="B10" s="2"/>
      <c r="C10" s="2"/>
      <c r="D10" s="2"/>
      <c r="E10" s="2"/>
      <c r="F10" s="2"/>
      <c r="G10" s="3"/>
    </row>
    <row r="11" spans="1:7" ht="12.5" x14ac:dyDescent="0.25">
      <c r="A11" s="2" t="s">
        <v>14</v>
      </c>
      <c r="B11" s="2"/>
      <c r="C11" s="2"/>
      <c r="D11" s="2"/>
      <c r="E11" s="2"/>
      <c r="F11" s="2"/>
      <c r="G11" s="3"/>
    </row>
    <row r="12" spans="1:7" ht="12.5" x14ac:dyDescent="0.25">
      <c r="A12" s="2"/>
      <c r="B12" s="2"/>
      <c r="C12" s="2"/>
      <c r="D12" s="2"/>
      <c r="E12" s="2"/>
      <c r="F12" s="2"/>
      <c r="G12" s="3"/>
    </row>
    <row r="13" spans="1:7" ht="12.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/>
      <c r="G13" s="3"/>
    </row>
    <row r="14" spans="1:7" ht="12.5" x14ac:dyDescent="0.25">
      <c r="A14" s="2" t="s">
        <v>6</v>
      </c>
      <c r="B14" s="3">
        <v>5</v>
      </c>
      <c r="C14" s="3">
        <v>13</v>
      </c>
      <c r="D14" s="3">
        <f>PRODUCT(C14,5)</f>
        <v>65</v>
      </c>
      <c r="E14" s="3">
        <f>PRODUCT(B14,D14)</f>
        <v>325</v>
      </c>
      <c r="F14" s="2"/>
      <c r="G14" s="3"/>
    </row>
    <row r="15" spans="1:7" ht="12.5" x14ac:dyDescent="0.25">
      <c r="A15" s="2" t="s">
        <v>7</v>
      </c>
      <c r="B15" s="3">
        <v>0</v>
      </c>
      <c r="C15" s="3">
        <v>1</v>
      </c>
      <c r="D15" s="3">
        <f t="shared" ref="D15:D18" si="2">PRODUCT(C15,5)</f>
        <v>5</v>
      </c>
      <c r="E15" s="3">
        <f t="shared" ref="E15:E19" si="3">PRODUCT(B15,D15)</f>
        <v>0</v>
      </c>
      <c r="F15" s="2"/>
      <c r="G15" s="3"/>
    </row>
    <row r="16" spans="1:7" ht="12.5" x14ac:dyDescent="0.25">
      <c r="A16" s="2" t="s">
        <v>8</v>
      </c>
      <c r="B16" s="3">
        <v>4</v>
      </c>
      <c r="C16" s="3">
        <v>6</v>
      </c>
      <c r="D16" s="3">
        <f t="shared" si="2"/>
        <v>30</v>
      </c>
      <c r="E16" s="3">
        <f t="shared" si="3"/>
        <v>120</v>
      </c>
      <c r="F16" s="2"/>
      <c r="G16" s="3"/>
    </row>
    <row r="17" spans="1:7" ht="12.5" x14ac:dyDescent="0.25">
      <c r="A17" s="2" t="s">
        <v>9</v>
      </c>
      <c r="B17" s="3">
        <v>3</v>
      </c>
      <c r="C17" s="3">
        <v>13</v>
      </c>
      <c r="D17" s="3">
        <f t="shared" si="2"/>
        <v>65</v>
      </c>
      <c r="E17" s="3">
        <f t="shared" si="3"/>
        <v>195</v>
      </c>
      <c r="F17" s="2"/>
      <c r="G17" s="3"/>
    </row>
    <row r="18" spans="1:7" ht="12.5" x14ac:dyDescent="0.25">
      <c r="A18" s="2" t="s">
        <v>10</v>
      </c>
      <c r="B18" s="3">
        <v>2</v>
      </c>
      <c r="C18" s="3">
        <v>4</v>
      </c>
      <c r="D18" s="3">
        <f t="shared" si="2"/>
        <v>20</v>
      </c>
      <c r="E18" s="3">
        <f t="shared" si="3"/>
        <v>40</v>
      </c>
      <c r="F18" s="2"/>
      <c r="G18" s="3"/>
    </row>
    <row r="19" spans="1:7" ht="12.5" x14ac:dyDescent="0.25">
      <c r="A19" s="2" t="s">
        <v>11</v>
      </c>
      <c r="B19" s="3">
        <v>1</v>
      </c>
      <c r="C19" s="4">
        <f>D19/5</f>
        <v>5</v>
      </c>
      <c r="D19" s="3">
        <v>25</v>
      </c>
      <c r="E19" s="3">
        <f t="shared" si="3"/>
        <v>25</v>
      </c>
      <c r="F19" s="2"/>
      <c r="G19" s="3"/>
    </row>
    <row r="20" spans="1:7" ht="12.5" x14ac:dyDescent="0.25">
      <c r="A20" s="2" t="s">
        <v>12</v>
      </c>
      <c r="B20" s="3">
        <f>SUM(B14,B15,B16,B17,B18,B19)</f>
        <v>15</v>
      </c>
      <c r="C20" s="2"/>
      <c r="D20" s="2"/>
      <c r="E20" s="3">
        <f>SUM(E14:E19)</f>
        <v>705</v>
      </c>
      <c r="F20" s="2" t="s">
        <v>13</v>
      </c>
      <c r="G20" s="3">
        <f t="shared" ref="G20:G64" si="4">E20/B20</f>
        <v>47</v>
      </c>
    </row>
    <row r="21" spans="1:7" ht="12.5" x14ac:dyDescent="0.25">
      <c r="A21" s="2"/>
      <c r="B21" s="2"/>
      <c r="C21" s="2"/>
      <c r="D21" s="2"/>
      <c r="E21" s="2"/>
      <c r="F21" s="2"/>
      <c r="G21" s="3"/>
    </row>
    <row r="22" spans="1:7" ht="12.5" x14ac:dyDescent="0.25">
      <c r="A22" s="2" t="s">
        <v>15</v>
      </c>
      <c r="B22" s="2"/>
      <c r="C22" s="2"/>
      <c r="D22" s="2"/>
      <c r="E22" s="2"/>
      <c r="F22" s="2"/>
      <c r="G22" s="3"/>
    </row>
    <row r="23" spans="1:7" ht="12.5" x14ac:dyDescent="0.25">
      <c r="A23" s="2"/>
      <c r="B23" s="2"/>
      <c r="C23" s="2"/>
      <c r="D23" s="2"/>
      <c r="E23" s="2"/>
      <c r="F23" s="2"/>
      <c r="G23" s="3"/>
    </row>
    <row r="24" spans="1:7" ht="12.5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/>
      <c r="G24" s="3"/>
    </row>
    <row r="25" spans="1:7" ht="12.5" x14ac:dyDescent="0.25">
      <c r="A25" s="2" t="s">
        <v>6</v>
      </c>
      <c r="B25" s="3">
        <v>3</v>
      </c>
      <c r="C25" s="3">
        <v>5</v>
      </c>
      <c r="D25" s="3">
        <f>PRODUCT(C25,5)</f>
        <v>25</v>
      </c>
      <c r="E25" s="3">
        <f>PRODUCT(B25,D25)</f>
        <v>75</v>
      </c>
      <c r="F25" s="2"/>
      <c r="G25" s="3"/>
    </row>
    <row r="26" spans="1:7" ht="12.5" x14ac:dyDescent="0.25">
      <c r="A26" s="2" t="s">
        <v>7</v>
      </c>
      <c r="B26" s="3">
        <v>1</v>
      </c>
      <c r="C26" s="3">
        <v>4</v>
      </c>
      <c r="D26" s="3">
        <f t="shared" ref="D26:D29" si="5">PRODUCT(C26,5)</f>
        <v>20</v>
      </c>
      <c r="E26" s="3">
        <f t="shared" ref="E26:E30" si="6">PRODUCT(B26,D26)</f>
        <v>20</v>
      </c>
      <c r="F26" s="2"/>
      <c r="G26" s="3"/>
    </row>
    <row r="27" spans="1:7" ht="12.5" x14ac:dyDescent="0.25">
      <c r="A27" s="2" t="s">
        <v>8</v>
      </c>
      <c r="B27" s="3">
        <v>4</v>
      </c>
      <c r="C27" s="3">
        <v>5</v>
      </c>
      <c r="D27" s="3">
        <f t="shared" si="5"/>
        <v>25</v>
      </c>
      <c r="E27" s="3">
        <f t="shared" si="6"/>
        <v>100</v>
      </c>
      <c r="F27" s="2"/>
      <c r="G27" s="3"/>
    </row>
    <row r="28" spans="1:7" ht="12.5" x14ac:dyDescent="0.25">
      <c r="A28" s="2" t="s">
        <v>9</v>
      </c>
      <c r="B28" s="3">
        <v>5</v>
      </c>
      <c r="C28" s="3">
        <v>11</v>
      </c>
      <c r="D28" s="3">
        <f t="shared" si="5"/>
        <v>55</v>
      </c>
      <c r="E28" s="3">
        <f t="shared" si="6"/>
        <v>275</v>
      </c>
      <c r="F28" s="2"/>
      <c r="G28" s="3"/>
    </row>
    <row r="29" spans="1:7" ht="12.5" x14ac:dyDescent="0.25">
      <c r="A29" s="2" t="s">
        <v>10</v>
      </c>
      <c r="B29" s="3">
        <v>2</v>
      </c>
      <c r="C29" s="3">
        <v>5</v>
      </c>
      <c r="D29" s="3">
        <f t="shared" si="5"/>
        <v>25</v>
      </c>
      <c r="E29" s="3">
        <f t="shared" si="6"/>
        <v>50</v>
      </c>
      <c r="F29" s="2"/>
      <c r="G29" s="3"/>
    </row>
    <row r="30" spans="1:7" ht="12.5" x14ac:dyDescent="0.25">
      <c r="A30" s="2" t="s">
        <v>11</v>
      </c>
      <c r="B30" s="3">
        <v>0</v>
      </c>
      <c r="C30" s="3">
        <f>D30/5</f>
        <v>4</v>
      </c>
      <c r="D30" s="3">
        <v>20</v>
      </c>
      <c r="E30" s="3">
        <f t="shared" si="6"/>
        <v>0</v>
      </c>
      <c r="F30" s="2"/>
      <c r="G30" s="3"/>
    </row>
    <row r="31" spans="1:7" ht="12.5" x14ac:dyDescent="0.25">
      <c r="A31" s="2" t="s">
        <v>12</v>
      </c>
      <c r="B31" s="3">
        <f>SUM(B25,B26,B27,B28,B29,B30)</f>
        <v>15</v>
      </c>
      <c r="C31" s="2"/>
      <c r="D31" s="2"/>
      <c r="E31" s="3">
        <f>SUM(E25:E30)</f>
        <v>520</v>
      </c>
      <c r="F31" s="2" t="s">
        <v>13</v>
      </c>
      <c r="G31" s="3">
        <f t="shared" si="4"/>
        <v>34.666666666666664</v>
      </c>
    </row>
    <row r="32" spans="1:7" ht="15.75" customHeight="1" x14ac:dyDescent="0.25">
      <c r="G32" s="3"/>
    </row>
    <row r="33" spans="1:7" ht="12.5" x14ac:dyDescent="0.25">
      <c r="A33" s="1" t="s">
        <v>16</v>
      </c>
      <c r="G33" s="3"/>
    </row>
    <row r="34" spans="1:7" ht="15.75" customHeight="1" x14ac:dyDescent="0.25">
      <c r="G34" s="3"/>
    </row>
    <row r="35" spans="1:7" ht="12.5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/>
      <c r="G35" s="3"/>
    </row>
    <row r="36" spans="1:7" ht="12.5" x14ac:dyDescent="0.25">
      <c r="A36" s="2" t="s">
        <v>6</v>
      </c>
      <c r="B36" s="3">
        <v>4</v>
      </c>
      <c r="C36" s="3">
        <v>2</v>
      </c>
      <c r="D36" s="3">
        <f>PRODUCT(C36,5)</f>
        <v>10</v>
      </c>
      <c r="E36" s="3">
        <f>PRODUCT(B36,D36)</f>
        <v>40</v>
      </c>
      <c r="F36" s="2"/>
      <c r="G36" s="3"/>
    </row>
    <row r="37" spans="1:7" ht="12.5" x14ac:dyDescent="0.25">
      <c r="A37" s="2" t="s">
        <v>7</v>
      </c>
      <c r="B37" s="3">
        <v>2</v>
      </c>
      <c r="C37" s="3">
        <v>2</v>
      </c>
      <c r="D37" s="3">
        <f t="shared" ref="D37:D40" si="7">PRODUCT(C37,5)</f>
        <v>10</v>
      </c>
      <c r="E37" s="3">
        <f t="shared" ref="E37:E41" si="8">PRODUCT(B37,D37)</f>
        <v>20</v>
      </c>
      <c r="F37" s="2"/>
      <c r="G37" s="3"/>
    </row>
    <row r="38" spans="1:7" ht="12.5" x14ac:dyDescent="0.25">
      <c r="A38" s="2" t="s">
        <v>8</v>
      </c>
      <c r="B38" s="3">
        <v>5</v>
      </c>
      <c r="C38" s="3">
        <v>2</v>
      </c>
      <c r="D38" s="3">
        <f t="shared" si="7"/>
        <v>10</v>
      </c>
      <c r="E38" s="3">
        <f t="shared" si="8"/>
        <v>50</v>
      </c>
      <c r="F38" s="2"/>
      <c r="G38" s="3"/>
    </row>
    <row r="39" spans="1:7" ht="12.5" x14ac:dyDescent="0.25">
      <c r="A39" s="2" t="s">
        <v>9</v>
      </c>
      <c r="B39" s="3">
        <v>1</v>
      </c>
      <c r="C39" s="3">
        <v>2</v>
      </c>
      <c r="D39" s="3">
        <f t="shared" si="7"/>
        <v>10</v>
      </c>
      <c r="E39" s="3">
        <f t="shared" si="8"/>
        <v>10</v>
      </c>
      <c r="F39" s="2"/>
      <c r="G39" s="3"/>
    </row>
    <row r="40" spans="1:7" ht="12.5" x14ac:dyDescent="0.25">
      <c r="A40" s="2" t="s">
        <v>10</v>
      </c>
      <c r="B40" s="3">
        <v>3</v>
      </c>
      <c r="C40" s="3">
        <v>2</v>
      </c>
      <c r="D40" s="3">
        <f t="shared" si="7"/>
        <v>10</v>
      </c>
      <c r="E40" s="3">
        <f t="shared" si="8"/>
        <v>30</v>
      </c>
      <c r="F40" s="2"/>
      <c r="G40" s="3"/>
    </row>
    <row r="41" spans="1:7" ht="12.5" x14ac:dyDescent="0.25">
      <c r="A41" s="2" t="s">
        <v>11</v>
      </c>
      <c r="B41" s="3">
        <v>0</v>
      </c>
      <c r="C41" s="3">
        <f>D41/5</f>
        <v>2</v>
      </c>
      <c r="D41" s="3">
        <v>10</v>
      </c>
      <c r="E41" s="3">
        <f t="shared" si="8"/>
        <v>0</v>
      </c>
      <c r="F41" s="2"/>
      <c r="G41" s="3"/>
    </row>
    <row r="42" spans="1:7" ht="12.5" x14ac:dyDescent="0.25">
      <c r="A42" s="2" t="s">
        <v>12</v>
      </c>
      <c r="B42" s="3">
        <f>SUM(B36,B37,B38,B39,B40,B41)</f>
        <v>15</v>
      </c>
      <c r="C42" s="2"/>
      <c r="D42" s="2"/>
      <c r="E42" s="3">
        <f>SUM(E36:E41)</f>
        <v>150</v>
      </c>
      <c r="F42" s="2" t="s">
        <v>13</v>
      </c>
      <c r="G42" s="3">
        <f t="shared" si="4"/>
        <v>10</v>
      </c>
    </row>
    <row r="43" spans="1:7" ht="15.75" customHeight="1" x14ac:dyDescent="0.25">
      <c r="G43" s="3"/>
    </row>
    <row r="44" spans="1:7" ht="12.5" x14ac:dyDescent="0.25">
      <c r="A44" s="1" t="s">
        <v>17</v>
      </c>
      <c r="G44" s="3"/>
    </row>
    <row r="45" spans="1:7" ht="15.75" customHeight="1" x14ac:dyDescent="0.25">
      <c r="G45" s="3"/>
    </row>
    <row r="46" spans="1:7" ht="12.5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/>
      <c r="G46" s="3"/>
    </row>
    <row r="47" spans="1:7" ht="12.5" x14ac:dyDescent="0.25">
      <c r="A47" s="2" t="s">
        <v>6</v>
      </c>
      <c r="B47" s="3">
        <v>3</v>
      </c>
      <c r="C47" s="3">
        <v>4</v>
      </c>
      <c r="D47" s="3">
        <f>PRODUCT(C47,5)</f>
        <v>20</v>
      </c>
      <c r="E47" s="3">
        <f>PRODUCT(B47,D47)</f>
        <v>60</v>
      </c>
      <c r="F47" s="2"/>
      <c r="G47" s="3"/>
    </row>
    <row r="48" spans="1:7" ht="12.5" x14ac:dyDescent="0.25">
      <c r="A48" s="2" t="s">
        <v>7</v>
      </c>
      <c r="B48" s="3">
        <v>3</v>
      </c>
      <c r="C48" s="3">
        <v>6</v>
      </c>
      <c r="D48" s="3">
        <f t="shared" ref="D48:D51" si="9">PRODUCT(C48,5)</f>
        <v>30</v>
      </c>
      <c r="E48" s="3">
        <f t="shared" ref="E48:E52" si="10">PRODUCT(B48,D48)</f>
        <v>90</v>
      </c>
      <c r="F48" s="2"/>
      <c r="G48" s="3"/>
    </row>
    <row r="49" spans="1:7" ht="12.5" x14ac:dyDescent="0.25">
      <c r="A49" s="2" t="s">
        <v>8</v>
      </c>
      <c r="B49" s="3">
        <v>3</v>
      </c>
      <c r="C49" s="3">
        <v>10</v>
      </c>
      <c r="D49" s="3">
        <f t="shared" si="9"/>
        <v>50</v>
      </c>
      <c r="E49" s="3">
        <f t="shared" si="10"/>
        <v>150</v>
      </c>
      <c r="F49" s="2"/>
      <c r="G49" s="3"/>
    </row>
    <row r="50" spans="1:7" ht="12.5" x14ac:dyDescent="0.25">
      <c r="A50" s="2" t="s">
        <v>9</v>
      </c>
      <c r="B50" s="3">
        <v>3</v>
      </c>
      <c r="C50" s="3">
        <v>16</v>
      </c>
      <c r="D50" s="3">
        <f t="shared" si="9"/>
        <v>80</v>
      </c>
      <c r="E50" s="3">
        <f t="shared" si="10"/>
        <v>240</v>
      </c>
      <c r="F50" s="2"/>
      <c r="G50" s="3"/>
    </row>
    <row r="51" spans="1:7" ht="12.5" x14ac:dyDescent="0.25">
      <c r="A51" s="2" t="s">
        <v>10</v>
      </c>
      <c r="B51" s="3">
        <v>2</v>
      </c>
      <c r="C51" s="3">
        <v>4</v>
      </c>
      <c r="D51" s="3">
        <f t="shared" si="9"/>
        <v>20</v>
      </c>
      <c r="E51" s="3">
        <f t="shared" si="10"/>
        <v>40</v>
      </c>
      <c r="F51" s="2"/>
      <c r="G51" s="3"/>
    </row>
    <row r="52" spans="1:7" ht="12.5" x14ac:dyDescent="0.25">
      <c r="A52" s="2" t="s">
        <v>11</v>
      </c>
      <c r="B52" s="3">
        <v>1</v>
      </c>
      <c r="C52" s="3">
        <f>D52/5</f>
        <v>17</v>
      </c>
      <c r="D52" s="3">
        <v>85</v>
      </c>
      <c r="E52" s="3">
        <f t="shared" si="10"/>
        <v>85</v>
      </c>
      <c r="F52" s="2"/>
      <c r="G52" s="3"/>
    </row>
    <row r="53" spans="1:7" ht="12.5" x14ac:dyDescent="0.25">
      <c r="A53" s="2" t="s">
        <v>12</v>
      </c>
      <c r="B53" s="3">
        <f>SUM(B47,B48,B49,B50,B51,B52)</f>
        <v>15</v>
      </c>
      <c r="C53" s="2"/>
      <c r="D53" s="2"/>
      <c r="E53" s="3">
        <f>SUM(E47:E52)</f>
        <v>665</v>
      </c>
      <c r="F53" s="2" t="s">
        <v>13</v>
      </c>
      <c r="G53" s="3">
        <f t="shared" si="4"/>
        <v>44.333333333333336</v>
      </c>
    </row>
    <row r="54" spans="1:7" ht="15.75" customHeight="1" x14ac:dyDescent="0.25">
      <c r="G54" s="3"/>
    </row>
    <row r="55" spans="1:7" ht="12.5" x14ac:dyDescent="0.25">
      <c r="A55" s="1" t="s">
        <v>18</v>
      </c>
      <c r="G55" s="3"/>
    </row>
    <row r="56" spans="1:7" ht="15.75" customHeight="1" x14ac:dyDescent="0.25">
      <c r="G56" s="3"/>
    </row>
    <row r="57" spans="1:7" ht="12.5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/>
      <c r="G57" s="3"/>
    </row>
    <row r="58" spans="1:7" ht="12.5" x14ac:dyDescent="0.25">
      <c r="A58" s="2" t="s">
        <v>6</v>
      </c>
      <c r="B58" s="3">
        <v>4</v>
      </c>
      <c r="C58" s="3">
        <v>5</v>
      </c>
      <c r="D58" s="3">
        <f>PRODUCT(C58,5)</f>
        <v>25</v>
      </c>
      <c r="E58" s="3">
        <f>PRODUCT(B58,D58)</f>
        <v>100</v>
      </c>
      <c r="F58" s="2"/>
      <c r="G58" s="3"/>
    </row>
    <row r="59" spans="1:7" ht="12.5" x14ac:dyDescent="0.25">
      <c r="A59" s="2" t="s">
        <v>7</v>
      </c>
      <c r="B59" s="3">
        <v>4</v>
      </c>
      <c r="C59" s="3">
        <v>5</v>
      </c>
      <c r="D59" s="3">
        <f t="shared" ref="D59:D62" si="11">PRODUCT(C59,5)</f>
        <v>25</v>
      </c>
      <c r="E59" s="3">
        <f t="shared" ref="E59:E63" si="12">PRODUCT(B59,D59)</f>
        <v>100</v>
      </c>
      <c r="F59" s="2"/>
      <c r="G59" s="3"/>
    </row>
    <row r="60" spans="1:7" ht="12.5" x14ac:dyDescent="0.25">
      <c r="A60" s="2" t="s">
        <v>8</v>
      </c>
      <c r="B60" s="3">
        <v>4</v>
      </c>
      <c r="C60" s="3">
        <v>10</v>
      </c>
      <c r="D60" s="3">
        <f t="shared" si="11"/>
        <v>50</v>
      </c>
      <c r="E60" s="3">
        <f t="shared" si="12"/>
        <v>200</v>
      </c>
      <c r="F60" s="2"/>
      <c r="G60" s="3"/>
    </row>
    <row r="61" spans="1:7" ht="12.5" x14ac:dyDescent="0.25">
      <c r="A61" s="2" t="s">
        <v>9</v>
      </c>
      <c r="B61" s="3">
        <v>2</v>
      </c>
      <c r="C61" s="3">
        <v>14</v>
      </c>
      <c r="D61" s="3">
        <f t="shared" si="11"/>
        <v>70</v>
      </c>
      <c r="E61" s="3">
        <f t="shared" si="12"/>
        <v>140</v>
      </c>
      <c r="F61" s="2"/>
      <c r="G61" s="3"/>
    </row>
    <row r="62" spans="1:7" ht="12.5" x14ac:dyDescent="0.25">
      <c r="A62" s="2" t="s">
        <v>10</v>
      </c>
      <c r="B62" s="3">
        <v>1</v>
      </c>
      <c r="C62" s="3">
        <v>6</v>
      </c>
      <c r="D62" s="3">
        <f t="shared" si="11"/>
        <v>30</v>
      </c>
      <c r="E62" s="3">
        <f t="shared" si="12"/>
        <v>30</v>
      </c>
      <c r="F62" s="2"/>
      <c r="G62" s="3"/>
    </row>
    <row r="63" spans="1:7" ht="12.5" x14ac:dyDescent="0.25">
      <c r="A63" s="2" t="s">
        <v>11</v>
      </c>
      <c r="B63" s="3">
        <v>0</v>
      </c>
      <c r="C63" s="3">
        <f>D63/5</f>
        <v>5</v>
      </c>
      <c r="D63" s="3">
        <v>25</v>
      </c>
      <c r="E63" s="3">
        <f t="shared" si="12"/>
        <v>0</v>
      </c>
      <c r="F63" s="2"/>
      <c r="G63" s="3"/>
    </row>
    <row r="64" spans="1:7" ht="12.5" x14ac:dyDescent="0.25">
      <c r="A64" s="2" t="s">
        <v>12</v>
      </c>
      <c r="B64" s="3">
        <f>SUM(B58,B59,B60,B61,B62,B63)</f>
        <v>15</v>
      </c>
      <c r="C64" s="2"/>
      <c r="D64" s="2"/>
      <c r="E64" s="3">
        <f>SUM(E58:E63)</f>
        <v>570</v>
      </c>
      <c r="F64" s="2" t="s">
        <v>13</v>
      </c>
      <c r="G64" s="3">
        <f t="shared" si="4"/>
        <v>38</v>
      </c>
    </row>
    <row r="65" spans="1:7" ht="12.5" x14ac:dyDescent="0.25">
      <c r="A65" s="2"/>
      <c r="B65" s="2"/>
      <c r="C65" s="2"/>
      <c r="D65" s="2"/>
      <c r="E65" s="2"/>
      <c r="F65" s="2"/>
      <c r="G65" s="3"/>
    </row>
    <row r="66" spans="1:7" ht="12.5" x14ac:dyDescent="0.25">
      <c r="A66" s="2" t="s">
        <v>19</v>
      </c>
      <c r="B66" s="2"/>
      <c r="C66" s="2"/>
      <c r="D66" s="2"/>
      <c r="E66" s="2"/>
      <c r="F66" s="2"/>
      <c r="G66" s="3"/>
    </row>
    <row r="67" spans="1:7" ht="12.5" x14ac:dyDescent="0.25">
      <c r="A67" s="2"/>
      <c r="B67" s="2"/>
      <c r="C67" s="2"/>
      <c r="D67" s="2"/>
      <c r="E67" s="2"/>
      <c r="F67" s="2"/>
      <c r="G67" s="3"/>
    </row>
    <row r="68" spans="1:7" ht="12.5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/>
      <c r="G68" s="3"/>
    </row>
    <row r="69" spans="1:7" ht="12.5" x14ac:dyDescent="0.25">
      <c r="A69" s="2" t="s">
        <v>6</v>
      </c>
      <c r="B69" s="3">
        <v>5</v>
      </c>
      <c r="C69" s="3">
        <v>3</v>
      </c>
      <c r="D69" s="3">
        <f>PRODUCT(C69,5)</f>
        <v>15</v>
      </c>
      <c r="E69" s="3">
        <f>PRODUCT(B69,D69)</f>
        <v>75</v>
      </c>
      <c r="F69" s="2"/>
      <c r="G69" s="3"/>
    </row>
    <row r="70" spans="1:7" ht="12.5" x14ac:dyDescent="0.25">
      <c r="A70" s="2" t="s">
        <v>7</v>
      </c>
      <c r="B70" s="3">
        <v>1</v>
      </c>
      <c r="C70" s="3">
        <v>1</v>
      </c>
      <c r="D70" s="3">
        <f t="shared" ref="D70:D73" si="13">PRODUCT(C70,5)</f>
        <v>5</v>
      </c>
      <c r="E70" s="3">
        <f t="shared" ref="E70:E74" si="14">PRODUCT(B70,D70)</f>
        <v>5</v>
      </c>
      <c r="F70" s="2"/>
      <c r="G70" s="3"/>
    </row>
    <row r="71" spans="1:7" ht="12.5" x14ac:dyDescent="0.25">
      <c r="A71" s="2" t="s">
        <v>8</v>
      </c>
      <c r="B71" s="3">
        <v>4</v>
      </c>
      <c r="C71" s="3">
        <v>2</v>
      </c>
      <c r="D71" s="3">
        <f t="shared" si="13"/>
        <v>10</v>
      </c>
      <c r="E71" s="3">
        <f t="shared" si="14"/>
        <v>40</v>
      </c>
      <c r="F71" s="2"/>
      <c r="G71" s="3"/>
    </row>
    <row r="72" spans="1:7" ht="12.5" x14ac:dyDescent="0.25">
      <c r="A72" s="2" t="s">
        <v>9</v>
      </c>
      <c r="B72" s="3">
        <v>3</v>
      </c>
      <c r="C72" s="3">
        <v>20</v>
      </c>
      <c r="D72" s="3">
        <f t="shared" si="13"/>
        <v>100</v>
      </c>
      <c r="E72" s="3">
        <f t="shared" si="14"/>
        <v>300</v>
      </c>
      <c r="F72" s="2"/>
      <c r="G72" s="3"/>
    </row>
    <row r="73" spans="1:7" ht="12.5" x14ac:dyDescent="0.25">
      <c r="A73" s="2" t="s">
        <v>10</v>
      </c>
      <c r="B73" s="3">
        <v>2</v>
      </c>
      <c r="C73" s="3">
        <v>1</v>
      </c>
      <c r="D73" s="3">
        <f t="shared" si="13"/>
        <v>5</v>
      </c>
      <c r="E73" s="3">
        <f t="shared" si="14"/>
        <v>10</v>
      </c>
      <c r="F73" s="2"/>
      <c r="G73" s="3"/>
    </row>
    <row r="74" spans="1:7" ht="12.5" x14ac:dyDescent="0.25">
      <c r="A74" s="2" t="s">
        <v>11</v>
      </c>
      <c r="B74" s="3">
        <v>0</v>
      </c>
      <c r="C74" s="3">
        <f>D74/5</f>
        <v>1</v>
      </c>
      <c r="D74" s="3">
        <v>5</v>
      </c>
      <c r="E74" s="3">
        <f t="shared" si="14"/>
        <v>0</v>
      </c>
      <c r="F74" s="2"/>
      <c r="G74" s="3"/>
    </row>
    <row r="75" spans="1:7" ht="12.5" x14ac:dyDescent="0.25">
      <c r="A75" s="2" t="s">
        <v>12</v>
      </c>
      <c r="B75" s="3">
        <f>SUM(B69,B70,B71,B72,B73,B74)</f>
        <v>15</v>
      </c>
      <c r="C75" s="2"/>
      <c r="D75" s="2"/>
      <c r="E75" s="3">
        <f>SUM(E69:E74)</f>
        <v>430</v>
      </c>
      <c r="F75" s="2" t="s">
        <v>13</v>
      </c>
      <c r="G75" s="3">
        <f t="shared" ref="G75:G108" si="15">E75/B75</f>
        <v>28.666666666666668</v>
      </c>
    </row>
    <row r="76" spans="1:7" ht="12.5" x14ac:dyDescent="0.25">
      <c r="A76" s="2"/>
      <c r="B76" s="2"/>
      <c r="C76" s="2"/>
      <c r="D76" s="2"/>
      <c r="E76" s="2"/>
      <c r="F76" s="2"/>
      <c r="G76" s="3"/>
    </row>
    <row r="77" spans="1:7" ht="12.5" x14ac:dyDescent="0.25">
      <c r="A77" s="2" t="s">
        <v>20</v>
      </c>
      <c r="B77" s="2"/>
      <c r="C77" s="2"/>
      <c r="D77" s="2"/>
      <c r="E77" s="2"/>
      <c r="F77" s="2"/>
      <c r="G77" s="3"/>
    </row>
    <row r="78" spans="1:7" ht="12.5" x14ac:dyDescent="0.25">
      <c r="A78" s="2"/>
      <c r="B78" s="2"/>
      <c r="C78" s="2"/>
      <c r="D78" s="2"/>
      <c r="E78" s="2"/>
      <c r="F78" s="2"/>
      <c r="G78" s="3"/>
    </row>
    <row r="79" spans="1:7" ht="12.5" x14ac:dyDescent="0.25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/>
      <c r="G79" s="3"/>
    </row>
    <row r="80" spans="1:7" ht="12.5" x14ac:dyDescent="0.25">
      <c r="A80" s="2" t="s">
        <v>6</v>
      </c>
      <c r="B80" s="3">
        <v>2</v>
      </c>
      <c r="C80" s="3">
        <v>6</v>
      </c>
      <c r="D80" s="3">
        <f>PRODUCT(C80,5)</f>
        <v>30</v>
      </c>
      <c r="E80" s="3">
        <f>PRODUCT(B80,D80)</f>
        <v>60</v>
      </c>
      <c r="F80" s="2"/>
      <c r="G80" s="3"/>
    </row>
    <row r="81" spans="1:7" ht="12.5" x14ac:dyDescent="0.25">
      <c r="A81" s="2" t="s">
        <v>7</v>
      </c>
      <c r="B81" s="3">
        <v>4</v>
      </c>
      <c r="C81" s="3">
        <v>15</v>
      </c>
      <c r="D81" s="3">
        <f t="shared" ref="D81:D84" si="16">PRODUCT(C81,5)</f>
        <v>75</v>
      </c>
      <c r="E81" s="3">
        <f t="shared" ref="E81:E85" si="17">PRODUCT(B81,D81)</f>
        <v>300</v>
      </c>
      <c r="F81" s="2"/>
      <c r="G81" s="3"/>
    </row>
    <row r="82" spans="1:7" ht="12.5" x14ac:dyDescent="0.25">
      <c r="A82" s="2" t="s">
        <v>8</v>
      </c>
      <c r="B82" s="3">
        <v>2</v>
      </c>
      <c r="C82" s="3">
        <v>7</v>
      </c>
      <c r="D82" s="3">
        <f t="shared" si="16"/>
        <v>35</v>
      </c>
      <c r="E82" s="3">
        <f t="shared" si="17"/>
        <v>70</v>
      </c>
      <c r="F82" s="2"/>
      <c r="G82" s="3"/>
    </row>
    <row r="83" spans="1:7" ht="12.5" x14ac:dyDescent="0.25">
      <c r="A83" s="2" t="s">
        <v>9</v>
      </c>
      <c r="B83" s="3">
        <v>1</v>
      </c>
      <c r="C83" s="3">
        <v>3</v>
      </c>
      <c r="D83" s="3">
        <f t="shared" si="16"/>
        <v>15</v>
      </c>
      <c r="E83" s="3">
        <f t="shared" si="17"/>
        <v>15</v>
      </c>
      <c r="F83" s="2"/>
      <c r="G83" s="3"/>
    </row>
    <row r="84" spans="1:7" ht="12.5" x14ac:dyDescent="0.25">
      <c r="A84" s="2" t="s">
        <v>10</v>
      </c>
      <c r="B84" s="3">
        <v>1</v>
      </c>
      <c r="C84" s="3">
        <v>17</v>
      </c>
      <c r="D84" s="3">
        <f t="shared" si="16"/>
        <v>85</v>
      </c>
      <c r="E84" s="3">
        <f t="shared" si="17"/>
        <v>85</v>
      </c>
      <c r="F84" s="2"/>
      <c r="G84" s="3"/>
    </row>
    <row r="85" spans="1:7" ht="12.5" x14ac:dyDescent="0.25">
      <c r="A85" s="2" t="s">
        <v>11</v>
      </c>
      <c r="B85" s="3">
        <v>5</v>
      </c>
      <c r="C85" s="3">
        <f>D85/5</f>
        <v>15</v>
      </c>
      <c r="D85" s="3">
        <v>75</v>
      </c>
      <c r="E85" s="3">
        <f t="shared" si="17"/>
        <v>375</v>
      </c>
      <c r="F85" s="2"/>
      <c r="G85" s="3"/>
    </row>
    <row r="86" spans="1:7" ht="12.5" x14ac:dyDescent="0.25">
      <c r="A86" s="2" t="s">
        <v>12</v>
      </c>
      <c r="B86" s="3">
        <f>SUM(B80,B81,B82,B83,B84,B85)</f>
        <v>15</v>
      </c>
      <c r="C86" s="2"/>
      <c r="D86" s="2"/>
      <c r="E86" s="3">
        <f>SUM(E80:E85)</f>
        <v>905</v>
      </c>
      <c r="F86" s="2" t="s">
        <v>13</v>
      </c>
      <c r="G86" s="3">
        <f t="shared" si="15"/>
        <v>60.333333333333336</v>
      </c>
    </row>
    <row r="87" spans="1:7" ht="12.5" x14ac:dyDescent="0.25">
      <c r="A87" s="2"/>
      <c r="B87" s="2"/>
      <c r="C87" s="2"/>
      <c r="D87" s="2"/>
      <c r="E87" s="2"/>
      <c r="F87" s="2"/>
      <c r="G87" s="3"/>
    </row>
    <row r="88" spans="1:7" ht="12.5" x14ac:dyDescent="0.25">
      <c r="A88" s="2" t="s">
        <v>21</v>
      </c>
      <c r="B88" s="2"/>
      <c r="C88" s="2"/>
      <c r="D88" s="2"/>
      <c r="E88" s="2"/>
      <c r="F88" s="2"/>
      <c r="G88" s="3"/>
    </row>
    <row r="89" spans="1:7" ht="12.5" x14ac:dyDescent="0.25">
      <c r="A89" s="2"/>
      <c r="B89" s="2"/>
      <c r="C89" s="2"/>
      <c r="D89" s="2"/>
      <c r="E89" s="2"/>
      <c r="F89" s="2"/>
      <c r="G89" s="3"/>
    </row>
    <row r="90" spans="1:7" ht="12.5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/>
      <c r="G90" s="3"/>
    </row>
    <row r="91" spans="1:7" ht="12.5" x14ac:dyDescent="0.25">
      <c r="A91" s="2" t="s">
        <v>6</v>
      </c>
      <c r="B91" s="3">
        <v>4</v>
      </c>
      <c r="C91" s="3">
        <v>1</v>
      </c>
      <c r="D91" s="3">
        <f>PRODUCT(C91,5)</f>
        <v>5</v>
      </c>
      <c r="E91" s="3">
        <f>PRODUCT(B91,D91)</f>
        <v>20</v>
      </c>
      <c r="F91" s="2"/>
      <c r="G91" s="3"/>
    </row>
    <row r="92" spans="1:7" ht="12.5" x14ac:dyDescent="0.25">
      <c r="A92" s="2" t="s">
        <v>7</v>
      </c>
      <c r="B92" s="3">
        <v>1</v>
      </c>
      <c r="C92" s="3">
        <v>1</v>
      </c>
      <c r="D92" s="3">
        <f t="shared" ref="D92:D95" si="18">PRODUCT(C92,5)</f>
        <v>5</v>
      </c>
      <c r="E92" s="3">
        <f t="shared" ref="E92:E96" si="19">PRODUCT(B92,D92)</f>
        <v>5</v>
      </c>
      <c r="F92" s="2"/>
      <c r="G92" s="3"/>
    </row>
    <row r="93" spans="1:7" ht="12.5" x14ac:dyDescent="0.25">
      <c r="A93" s="2" t="s">
        <v>8</v>
      </c>
      <c r="B93" s="3">
        <v>5</v>
      </c>
      <c r="C93" s="3">
        <v>5</v>
      </c>
      <c r="D93" s="3">
        <f t="shared" si="18"/>
        <v>25</v>
      </c>
      <c r="E93" s="3">
        <f t="shared" si="19"/>
        <v>125</v>
      </c>
      <c r="F93" s="2"/>
      <c r="G93" s="3"/>
    </row>
    <row r="94" spans="1:7" ht="12.5" x14ac:dyDescent="0.25">
      <c r="A94" s="2" t="s">
        <v>9</v>
      </c>
      <c r="B94" s="3">
        <v>2</v>
      </c>
      <c r="C94" s="3">
        <v>20</v>
      </c>
      <c r="D94" s="3">
        <f t="shared" si="18"/>
        <v>100</v>
      </c>
      <c r="E94" s="3">
        <f t="shared" si="19"/>
        <v>200</v>
      </c>
      <c r="F94" s="2"/>
      <c r="G94" s="3"/>
    </row>
    <row r="95" spans="1:7" ht="12.5" x14ac:dyDescent="0.25">
      <c r="A95" s="2" t="s">
        <v>10</v>
      </c>
      <c r="B95" s="3">
        <v>2</v>
      </c>
      <c r="C95" s="3">
        <v>1</v>
      </c>
      <c r="D95" s="3">
        <f t="shared" si="18"/>
        <v>5</v>
      </c>
      <c r="E95" s="3">
        <f t="shared" si="19"/>
        <v>10</v>
      </c>
      <c r="F95" s="2"/>
      <c r="G95" s="3"/>
    </row>
    <row r="96" spans="1:7" ht="12.5" x14ac:dyDescent="0.25">
      <c r="A96" s="2" t="s">
        <v>11</v>
      </c>
      <c r="B96" s="3">
        <v>1</v>
      </c>
      <c r="C96" s="3">
        <f>D96/5</f>
        <v>1</v>
      </c>
      <c r="D96" s="3">
        <v>5</v>
      </c>
      <c r="E96" s="3">
        <f t="shared" si="19"/>
        <v>5</v>
      </c>
      <c r="F96" s="2"/>
      <c r="G96" s="3"/>
    </row>
    <row r="97" spans="1:7" ht="12.5" x14ac:dyDescent="0.25">
      <c r="A97" s="2" t="s">
        <v>12</v>
      </c>
      <c r="B97" s="3">
        <f>SUM(B91,B92,B93,B94,B95,B96)</f>
        <v>15</v>
      </c>
      <c r="C97" s="2"/>
      <c r="D97" s="2"/>
      <c r="E97" s="3">
        <f>SUM(E91:E96)</f>
        <v>365</v>
      </c>
      <c r="F97" s="2" t="s">
        <v>13</v>
      </c>
      <c r="G97" s="3">
        <f t="shared" si="15"/>
        <v>24.333333333333332</v>
      </c>
    </row>
    <row r="98" spans="1:7" ht="12.5" x14ac:dyDescent="0.25">
      <c r="A98" s="2"/>
      <c r="B98" s="2"/>
      <c r="C98" s="2"/>
      <c r="D98" s="2"/>
      <c r="E98" s="2"/>
      <c r="F98" s="2"/>
      <c r="G98" s="3"/>
    </row>
    <row r="99" spans="1:7" ht="12.5" x14ac:dyDescent="0.25">
      <c r="A99" s="2" t="s">
        <v>22</v>
      </c>
      <c r="B99" s="2"/>
      <c r="C99" s="2"/>
      <c r="D99" s="2"/>
      <c r="E99" s="2"/>
      <c r="F99" s="2"/>
      <c r="G99" s="3"/>
    </row>
    <row r="100" spans="1:7" ht="12.5" x14ac:dyDescent="0.25">
      <c r="A100" s="2"/>
      <c r="B100" s="2"/>
      <c r="C100" s="2"/>
      <c r="D100" s="2"/>
      <c r="E100" s="2"/>
      <c r="F100" s="2"/>
      <c r="G100" s="3"/>
    </row>
    <row r="101" spans="1:7" ht="12.5" x14ac:dyDescent="0.25">
      <c r="A101" s="2" t="s">
        <v>1</v>
      </c>
      <c r="B101" s="2" t="s">
        <v>2</v>
      </c>
      <c r="C101" s="2" t="s">
        <v>3</v>
      </c>
      <c r="D101" s="2" t="s">
        <v>4</v>
      </c>
      <c r="E101" s="2" t="s">
        <v>5</v>
      </c>
      <c r="F101" s="2"/>
      <c r="G101" s="3"/>
    </row>
    <row r="102" spans="1:7" ht="12.5" x14ac:dyDescent="0.25">
      <c r="A102" s="2" t="s">
        <v>6</v>
      </c>
      <c r="B102" s="3">
        <v>3</v>
      </c>
      <c r="C102" s="3">
        <v>1</v>
      </c>
      <c r="D102" s="3">
        <f>PRODUCT(C102,5)</f>
        <v>5</v>
      </c>
      <c r="E102" s="3">
        <f>PRODUCT(B102,D102)</f>
        <v>15</v>
      </c>
      <c r="F102" s="2"/>
      <c r="G102" s="3"/>
    </row>
    <row r="103" spans="1:7" ht="12.5" x14ac:dyDescent="0.25">
      <c r="A103" s="2" t="s">
        <v>7</v>
      </c>
      <c r="B103" s="3">
        <v>0</v>
      </c>
      <c r="C103" s="3">
        <v>1</v>
      </c>
      <c r="D103" s="3">
        <f t="shared" ref="D103:D106" si="20">PRODUCT(C103,5)</f>
        <v>5</v>
      </c>
      <c r="E103" s="3">
        <f t="shared" ref="E103:E107" si="21">PRODUCT(B103,D103)</f>
        <v>0</v>
      </c>
      <c r="F103" s="2"/>
      <c r="G103" s="3"/>
    </row>
    <row r="104" spans="1:7" ht="12.5" x14ac:dyDescent="0.25">
      <c r="A104" s="2" t="s">
        <v>8</v>
      </c>
      <c r="B104" s="3">
        <v>4</v>
      </c>
      <c r="C104" s="3">
        <v>8</v>
      </c>
      <c r="D104" s="3">
        <f t="shared" si="20"/>
        <v>40</v>
      </c>
      <c r="E104" s="3">
        <f t="shared" si="21"/>
        <v>160</v>
      </c>
      <c r="F104" s="2"/>
      <c r="G104" s="3"/>
    </row>
    <row r="105" spans="1:7" ht="12.5" x14ac:dyDescent="0.25">
      <c r="A105" s="2" t="s">
        <v>9</v>
      </c>
      <c r="B105" s="3">
        <v>3</v>
      </c>
      <c r="C105" s="3">
        <v>15</v>
      </c>
      <c r="D105" s="3">
        <f t="shared" si="20"/>
        <v>75</v>
      </c>
      <c r="E105" s="3">
        <f t="shared" si="21"/>
        <v>225</v>
      </c>
      <c r="F105" s="2"/>
      <c r="G105" s="3"/>
    </row>
    <row r="106" spans="1:7" ht="12.5" x14ac:dyDescent="0.25">
      <c r="A106" s="2" t="s">
        <v>10</v>
      </c>
      <c r="B106" s="3">
        <v>2</v>
      </c>
      <c r="C106" s="3">
        <v>1</v>
      </c>
      <c r="D106" s="3">
        <f t="shared" si="20"/>
        <v>5</v>
      </c>
      <c r="E106" s="3">
        <f t="shared" si="21"/>
        <v>10</v>
      </c>
      <c r="F106" s="2"/>
      <c r="G106" s="3"/>
    </row>
    <row r="107" spans="1:7" ht="12.5" x14ac:dyDescent="0.25">
      <c r="A107" s="2" t="s">
        <v>11</v>
      </c>
      <c r="B107" s="3">
        <v>3</v>
      </c>
      <c r="C107" s="3">
        <f>D107/5</f>
        <v>1</v>
      </c>
      <c r="D107" s="3">
        <v>5</v>
      </c>
      <c r="E107" s="3">
        <f t="shared" si="21"/>
        <v>15</v>
      </c>
      <c r="F107" s="2"/>
      <c r="G107" s="3"/>
    </row>
    <row r="108" spans="1:7" ht="12.5" x14ac:dyDescent="0.25">
      <c r="A108" s="2" t="s">
        <v>12</v>
      </c>
      <c r="B108" s="3">
        <f>SUM(B102,B103,B104,B105,B106,B107)</f>
        <v>15</v>
      </c>
      <c r="C108" s="2"/>
      <c r="D108" s="2"/>
      <c r="E108" s="3">
        <f>SUM(E102:E107)</f>
        <v>425</v>
      </c>
      <c r="F108" s="2" t="s">
        <v>13</v>
      </c>
      <c r="G108" s="3">
        <f t="shared" si="15"/>
        <v>28.333333333333332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8"/>
  <sheetViews>
    <sheetView topLeftCell="A56" zoomScale="115" zoomScaleNormal="115" workbookViewId="0">
      <selection activeCell="I5" sqref="I5"/>
    </sheetView>
  </sheetViews>
  <sheetFormatPr defaultColWidth="12.54296875" defaultRowHeight="15.75" customHeight="1" x14ac:dyDescent="0.25"/>
  <cols>
    <col min="4" max="4" width="27" customWidth="1"/>
    <col min="5" max="5" width="26.81640625" customWidth="1"/>
  </cols>
  <sheetData>
    <row r="1" spans="1:7" ht="12.5" x14ac:dyDescent="0.25">
      <c r="A1" s="1" t="s">
        <v>0</v>
      </c>
    </row>
    <row r="2" spans="1:7" ht="12.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</row>
    <row r="3" spans="1:7" ht="12.5" x14ac:dyDescent="0.25">
      <c r="A3" s="2" t="s">
        <v>6</v>
      </c>
      <c r="B3" s="3">
        <v>3</v>
      </c>
      <c r="C3" s="3">
        <v>12</v>
      </c>
      <c r="D3" s="3">
        <f>PRODUCT(C3,5)</f>
        <v>60</v>
      </c>
      <c r="E3" s="3">
        <f>PRODUCT(B3,D3)</f>
        <v>180</v>
      </c>
      <c r="F3" s="2"/>
      <c r="G3" s="2"/>
    </row>
    <row r="4" spans="1:7" ht="12.5" x14ac:dyDescent="0.25">
      <c r="A4" s="2" t="s">
        <v>7</v>
      </c>
      <c r="B4" s="3">
        <v>0</v>
      </c>
      <c r="C4" s="3">
        <v>8</v>
      </c>
      <c r="D4" s="3">
        <f t="shared" ref="D4:D7" si="0">PRODUCT(C4,5)</f>
        <v>40</v>
      </c>
      <c r="E4" s="3">
        <f t="shared" ref="E4:E8" si="1">PRODUCT(B4,D4)</f>
        <v>0</v>
      </c>
      <c r="F4" s="2"/>
      <c r="G4" s="2"/>
    </row>
    <row r="5" spans="1:7" ht="12.5" x14ac:dyDescent="0.25">
      <c r="A5" s="2" t="s">
        <v>8</v>
      </c>
      <c r="B5" s="3">
        <v>1</v>
      </c>
      <c r="C5" s="3">
        <v>12</v>
      </c>
      <c r="D5" s="3">
        <f t="shared" si="0"/>
        <v>60</v>
      </c>
      <c r="E5" s="3">
        <f t="shared" si="1"/>
        <v>60</v>
      </c>
      <c r="F5" s="2"/>
      <c r="G5" s="2"/>
    </row>
    <row r="6" spans="1:7" ht="12.5" x14ac:dyDescent="0.25">
      <c r="A6" s="2" t="s">
        <v>9</v>
      </c>
      <c r="B6" s="3">
        <v>4</v>
      </c>
      <c r="C6" s="3">
        <v>5</v>
      </c>
      <c r="D6" s="3">
        <f t="shared" si="0"/>
        <v>25</v>
      </c>
      <c r="E6" s="3">
        <f t="shared" si="1"/>
        <v>100</v>
      </c>
      <c r="F6" s="2"/>
      <c r="G6" s="2"/>
    </row>
    <row r="7" spans="1:7" ht="12.5" x14ac:dyDescent="0.25">
      <c r="A7" s="2" t="s">
        <v>10</v>
      </c>
      <c r="B7" s="3">
        <v>4</v>
      </c>
      <c r="C7" s="3">
        <v>12</v>
      </c>
      <c r="D7" s="3">
        <f t="shared" si="0"/>
        <v>60</v>
      </c>
      <c r="E7" s="3">
        <f t="shared" si="1"/>
        <v>240</v>
      </c>
      <c r="F7" s="2"/>
      <c r="G7" s="2"/>
    </row>
    <row r="8" spans="1:7" ht="12.5" x14ac:dyDescent="0.25">
      <c r="A8" s="2" t="s">
        <v>11</v>
      </c>
      <c r="B8" s="3">
        <v>3</v>
      </c>
      <c r="C8" s="3">
        <f>D8/5</f>
        <v>14</v>
      </c>
      <c r="D8" s="3">
        <v>70</v>
      </c>
      <c r="E8" s="3">
        <f t="shared" si="1"/>
        <v>210</v>
      </c>
      <c r="F8" s="2"/>
      <c r="G8" s="2"/>
    </row>
    <row r="9" spans="1:7" ht="12.5" x14ac:dyDescent="0.25">
      <c r="A9" s="2" t="s">
        <v>12</v>
      </c>
      <c r="B9" s="3">
        <f>SUM(B3,B4,B5,B6,B7,B8)</f>
        <v>15</v>
      </c>
      <c r="C9" s="2"/>
      <c r="D9" s="2"/>
      <c r="E9" s="3">
        <f>SUM(E3:E8)</f>
        <v>790</v>
      </c>
      <c r="F9" s="2" t="s">
        <v>13</v>
      </c>
      <c r="G9" s="3">
        <f>E9/B9</f>
        <v>52.666666666666664</v>
      </c>
    </row>
    <row r="10" spans="1:7" ht="12.5" x14ac:dyDescent="0.25">
      <c r="A10" s="2"/>
      <c r="B10" s="2"/>
      <c r="C10" s="2"/>
      <c r="D10" s="2"/>
      <c r="E10" s="2"/>
      <c r="F10" s="2"/>
      <c r="G10" s="3"/>
    </row>
    <row r="11" spans="1:7" ht="12.5" x14ac:dyDescent="0.25">
      <c r="A11" s="2" t="s">
        <v>14</v>
      </c>
      <c r="B11" s="2"/>
      <c r="C11" s="2"/>
      <c r="D11" s="2"/>
      <c r="E11" s="2"/>
      <c r="F11" s="2"/>
      <c r="G11" s="3"/>
    </row>
    <row r="12" spans="1:7" ht="12.5" x14ac:dyDescent="0.25">
      <c r="A12" s="2"/>
      <c r="B12" s="2"/>
      <c r="C12" s="2"/>
      <c r="D12" s="2"/>
      <c r="E12" s="2"/>
      <c r="F12" s="2"/>
      <c r="G12" s="3"/>
    </row>
    <row r="13" spans="1:7" ht="12.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/>
      <c r="G13" s="3"/>
    </row>
    <row r="14" spans="1:7" ht="12.5" x14ac:dyDescent="0.25">
      <c r="A14" s="2" t="s">
        <v>6</v>
      </c>
      <c r="B14" s="3">
        <v>5</v>
      </c>
      <c r="C14" s="3">
        <v>13</v>
      </c>
      <c r="D14" s="3">
        <f>PRODUCT(C14,5)</f>
        <v>65</v>
      </c>
      <c r="E14" s="3">
        <f>PRODUCT(B14,D14)</f>
        <v>325</v>
      </c>
      <c r="F14" s="2"/>
      <c r="G14" s="3"/>
    </row>
    <row r="15" spans="1:7" ht="12.5" x14ac:dyDescent="0.25">
      <c r="A15" s="2" t="s">
        <v>7</v>
      </c>
      <c r="B15" s="3">
        <v>0</v>
      </c>
      <c r="C15" s="3">
        <v>3</v>
      </c>
      <c r="D15" s="3">
        <f t="shared" ref="D15:D18" si="2">PRODUCT(C15,5)</f>
        <v>15</v>
      </c>
      <c r="E15" s="3">
        <f t="shared" ref="E15:E19" si="3">PRODUCT(B15,D15)</f>
        <v>0</v>
      </c>
      <c r="F15" s="2"/>
      <c r="G15" s="3"/>
    </row>
    <row r="16" spans="1:7" ht="12.5" x14ac:dyDescent="0.25">
      <c r="A16" s="2" t="s">
        <v>8</v>
      </c>
      <c r="B16" s="3">
        <v>4</v>
      </c>
      <c r="C16" s="3">
        <v>4</v>
      </c>
      <c r="D16" s="3">
        <f t="shared" si="2"/>
        <v>20</v>
      </c>
      <c r="E16" s="3">
        <f t="shared" si="3"/>
        <v>80</v>
      </c>
      <c r="F16" s="2"/>
      <c r="G16" s="3"/>
    </row>
    <row r="17" spans="1:7" ht="12.5" x14ac:dyDescent="0.25">
      <c r="A17" s="2" t="s">
        <v>9</v>
      </c>
      <c r="B17" s="3">
        <v>3</v>
      </c>
      <c r="C17" s="3">
        <v>15</v>
      </c>
      <c r="D17" s="3">
        <f t="shared" si="2"/>
        <v>75</v>
      </c>
      <c r="E17" s="3">
        <f t="shared" si="3"/>
        <v>225</v>
      </c>
      <c r="F17" s="2"/>
      <c r="G17" s="3"/>
    </row>
    <row r="18" spans="1:7" ht="12.5" x14ac:dyDescent="0.25">
      <c r="A18" s="2" t="s">
        <v>10</v>
      </c>
      <c r="B18" s="3">
        <v>2</v>
      </c>
      <c r="C18" s="3">
        <v>2</v>
      </c>
      <c r="D18" s="3">
        <f t="shared" si="2"/>
        <v>10</v>
      </c>
      <c r="E18" s="3">
        <f t="shared" si="3"/>
        <v>20</v>
      </c>
      <c r="F18" s="2"/>
      <c r="G18" s="3"/>
    </row>
    <row r="19" spans="1:7" ht="12.5" x14ac:dyDescent="0.25">
      <c r="A19" s="2" t="s">
        <v>11</v>
      </c>
      <c r="B19" s="3">
        <v>1</v>
      </c>
      <c r="C19" s="3">
        <f>D19/5</f>
        <v>3</v>
      </c>
      <c r="D19" s="3">
        <v>15</v>
      </c>
      <c r="E19" s="3">
        <f t="shared" si="3"/>
        <v>15</v>
      </c>
      <c r="F19" s="2"/>
      <c r="G19" s="3"/>
    </row>
    <row r="20" spans="1:7" ht="12.5" x14ac:dyDescent="0.25">
      <c r="A20" s="2" t="s">
        <v>12</v>
      </c>
      <c r="B20" s="3">
        <f>SUM(B14,B15,B16,B17,B18,B19)</f>
        <v>15</v>
      </c>
      <c r="C20" s="2"/>
      <c r="D20" s="2"/>
      <c r="E20" s="3">
        <f>SUM(E14:E19)</f>
        <v>665</v>
      </c>
      <c r="F20" s="2" t="s">
        <v>13</v>
      </c>
      <c r="G20" s="3">
        <f t="shared" ref="G20:G64" si="4">E20/B20</f>
        <v>44.333333333333336</v>
      </c>
    </row>
    <row r="21" spans="1:7" ht="12.5" x14ac:dyDescent="0.25">
      <c r="A21" s="2"/>
      <c r="B21" s="2"/>
      <c r="C21" s="2"/>
      <c r="D21" s="2"/>
      <c r="E21" s="2"/>
      <c r="F21" s="2"/>
      <c r="G21" s="3"/>
    </row>
    <row r="22" spans="1:7" ht="12.5" x14ac:dyDescent="0.25">
      <c r="A22" s="2" t="s">
        <v>15</v>
      </c>
      <c r="B22" s="2"/>
      <c r="C22" s="2"/>
      <c r="D22" s="2"/>
      <c r="E22" s="2"/>
      <c r="F22" s="2"/>
      <c r="G22" s="3"/>
    </row>
    <row r="23" spans="1:7" ht="12.5" x14ac:dyDescent="0.25">
      <c r="A23" s="2"/>
      <c r="B23" s="2"/>
      <c r="C23" s="2"/>
      <c r="D23" s="2"/>
      <c r="E23" s="2"/>
      <c r="F23" s="2"/>
      <c r="G23" s="3"/>
    </row>
    <row r="24" spans="1:7" ht="12.5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/>
      <c r="G24" s="3"/>
    </row>
    <row r="25" spans="1:7" ht="12.5" x14ac:dyDescent="0.25">
      <c r="A25" s="2" t="s">
        <v>6</v>
      </c>
      <c r="B25" s="3">
        <v>2</v>
      </c>
      <c r="C25" s="3">
        <v>4</v>
      </c>
      <c r="D25" s="3">
        <f>PRODUCT(C25,5)</f>
        <v>20</v>
      </c>
      <c r="E25" s="3">
        <f>PRODUCT(B25,D25)</f>
        <v>40</v>
      </c>
      <c r="F25" s="2"/>
      <c r="G25" s="3"/>
    </row>
    <row r="26" spans="1:7" ht="12.5" x14ac:dyDescent="0.25">
      <c r="A26" s="2" t="s">
        <v>7</v>
      </c>
      <c r="B26" s="3">
        <v>1</v>
      </c>
      <c r="C26" s="3">
        <v>3</v>
      </c>
      <c r="D26" s="3">
        <f t="shared" ref="D26:D29" si="5">PRODUCT(C26,5)</f>
        <v>15</v>
      </c>
      <c r="E26" s="3">
        <f t="shared" ref="E26:E30" si="6">PRODUCT(B26,D26)</f>
        <v>15</v>
      </c>
      <c r="F26" s="2"/>
      <c r="G26" s="3"/>
    </row>
    <row r="27" spans="1:7" ht="12.5" x14ac:dyDescent="0.25">
      <c r="A27" s="2" t="s">
        <v>8</v>
      </c>
      <c r="B27" s="3">
        <v>4</v>
      </c>
      <c r="C27" s="3">
        <v>7</v>
      </c>
      <c r="D27" s="3">
        <f t="shared" si="5"/>
        <v>35</v>
      </c>
      <c r="E27" s="3">
        <f t="shared" si="6"/>
        <v>140</v>
      </c>
      <c r="F27" s="2"/>
      <c r="G27" s="3"/>
    </row>
    <row r="28" spans="1:7" ht="12.5" x14ac:dyDescent="0.25">
      <c r="A28" s="2" t="s">
        <v>9</v>
      </c>
      <c r="B28" s="3">
        <v>3</v>
      </c>
      <c r="C28" s="3">
        <v>12</v>
      </c>
      <c r="D28" s="3">
        <f t="shared" si="5"/>
        <v>60</v>
      </c>
      <c r="E28" s="3">
        <f t="shared" si="6"/>
        <v>180</v>
      </c>
      <c r="F28" s="2"/>
      <c r="G28" s="3"/>
    </row>
    <row r="29" spans="1:7" ht="12.5" x14ac:dyDescent="0.25">
      <c r="A29" s="2" t="s">
        <v>10</v>
      </c>
      <c r="B29" s="3">
        <v>0</v>
      </c>
      <c r="C29" s="3">
        <v>4</v>
      </c>
      <c r="D29" s="3">
        <f t="shared" si="5"/>
        <v>20</v>
      </c>
      <c r="E29" s="3">
        <f t="shared" si="6"/>
        <v>0</v>
      </c>
      <c r="F29" s="2"/>
      <c r="G29" s="3"/>
    </row>
    <row r="30" spans="1:7" ht="12.5" x14ac:dyDescent="0.25">
      <c r="A30" s="2" t="s">
        <v>11</v>
      </c>
      <c r="B30" s="3">
        <v>5</v>
      </c>
      <c r="C30" s="3">
        <f>D30/5</f>
        <v>9</v>
      </c>
      <c r="D30" s="3">
        <v>45</v>
      </c>
      <c r="E30" s="3">
        <f t="shared" si="6"/>
        <v>225</v>
      </c>
      <c r="F30" s="2"/>
      <c r="G30" s="3"/>
    </row>
    <row r="31" spans="1:7" ht="12.5" x14ac:dyDescent="0.25">
      <c r="A31" s="2" t="s">
        <v>12</v>
      </c>
      <c r="B31" s="3">
        <f>SUM(B25,B26,B27,B28,B29,B30)</f>
        <v>15</v>
      </c>
      <c r="C31" s="2"/>
      <c r="D31" s="2"/>
      <c r="E31" s="3">
        <f>SUM(E25:E30)</f>
        <v>600</v>
      </c>
      <c r="F31" s="2" t="s">
        <v>13</v>
      </c>
      <c r="G31" s="3">
        <f t="shared" si="4"/>
        <v>40</v>
      </c>
    </row>
    <row r="32" spans="1:7" ht="15.75" customHeight="1" x14ac:dyDescent="0.25">
      <c r="G32" s="3"/>
    </row>
    <row r="33" spans="1:7" ht="12.5" x14ac:dyDescent="0.25">
      <c r="A33" s="1" t="s">
        <v>16</v>
      </c>
      <c r="G33" s="3"/>
    </row>
    <row r="34" spans="1:7" ht="15.75" customHeight="1" x14ac:dyDescent="0.25">
      <c r="G34" s="3"/>
    </row>
    <row r="35" spans="1:7" ht="12.5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/>
      <c r="G35" s="3"/>
    </row>
    <row r="36" spans="1:7" ht="12.5" x14ac:dyDescent="0.25">
      <c r="A36" s="2" t="s">
        <v>6</v>
      </c>
      <c r="B36" s="3">
        <v>1</v>
      </c>
      <c r="C36" s="3">
        <v>5</v>
      </c>
      <c r="D36" s="3">
        <f>PRODUCT(C36,5)</f>
        <v>25</v>
      </c>
      <c r="E36" s="3">
        <f>PRODUCT(B36,D36)</f>
        <v>25</v>
      </c>
      <c r="F36" s="2"/>
      <c r="G36" s="3"/>
    </row>
    <row r="37" spans="1:7" ht="12.5" x14ac:dyDescent="0.25">
      <c r="A37" s="2" t="s">
        <v>7</v>
      </c>
      <c r="B37" s="3">
        <v>3</v>
      </c>
      <c r="C37" s="3">
        <v>5</v>
      </c>
      <c r="D37" s="3">
        <f t="shared" ref="D37:D40" si="7">PRODUCT(C37,5)</f>
        <v>25</v>
      </c>
      <c r="E37" s="3">
        <f t="shared" ref="E37:E41" si="8">PRODUCT(B37,D37)</f>
        <v>75</v>
      </c>
      <c r="F37" s="2"/>
      <c r="G37" s="3"/>
    </row>
    <row r="38" spans="1:7" ht="12.5" x14ac:dyDescent="0.25">
      <c r="A38" s="2" t="s">
        <v>8</v>
      </c>
      <c r="B38" s="3">
        <v>0</v>
      </c>
      <c r="C38" s="3">
        <v>5</v>
      </c>
      <c r="D38" s="3">
        <f t="shared" si="7"/>
        <v>25</v>
      </c>
      <c r="E38" s="3">
        <f t="shared" si="8"/>
        <v>0</v>
      </c>
      <c r="F38" s="2"/>
      <c r="G38" s="3"/>
    </row>
    <row r="39" spans="1:7" ht="12.5" x14ac:dyDescent="0.25">
      <c r="A39" s="2" t="s">
        <v>9</v>
      </c>
      <c r="B39" s="3">
        <v>2</v>
      </c>
      <c r="C39" s="3">
        <v>5</v>
      </c>
      <c r="D39" s="3">
        <f t="shared" si="7"/>
        <v>25</v>
      </c>
      <c r="E39" s="3">
        <f t="shared" si="8"/>
        <v>50</v>
      </c>
      <c r="F39" s="2"/>
      <c r="G39" s="3"/>
    </row>
    <row r="40" spans="1:7" ht="12.5" x14ac:dyDescent="0.25">
      <c r="A40" s="2" t="s">
        <v>10</v>
      </c>
      <c r="B40" s="3">
        <v>4</v>
      </c>
      <c r="C40" s="3">
        <v>5</v>
      </c>
      <c r="D40" s="3">
        <f t="shared" si="7"/>
        <v>25</v>
      </c>
      <c r="E40" s="3">
        <f t="shared" si="8"/>
        <v>100</v>
      </c>
      <c r="F40" s="2"/>
      <c r="G40" s="3"/>
    </row>
    <row r="41" spans="1:7" ht="12.5" x14ac:dyDescent="0.25">
      <c r="A41" s="2" t="s">
        <v>11</v>
      </c>
      <c r="B41" s="3">
        <v>5</v>
      </c>
      <c r="C41" s="3">
        <f>D41/5</f>
        <v>5</v>
      </c>
      <c r="D41" s="3">
        <v>25</v>
      </c>
      <c r="E41" s="3">
        <f t="shared" si="8"/>
        <v>125</v>
      </c>
      <c r="F41" s="2"/>
      <c r="G41" s="3"/>
    </row>
    <row r="42" spans="1:7" ht="12.5" x14ac:dyDescent="0.25">
      <c r="A42" s="2" t="s">
        <v>12</v>
      </c>
      <c r="B42" s="3">
        <f>SUM(B36,B37,B38,B39,B40,B41)</f>
        <v>15</v>
      </c>
      <c r="C42" s="2"/>
      <c r="D42" s="2"/>
      <c r="E42" s="3">
        <f>SUM(E36:E41)</f>
        <v>375</v>
      </c>
      <c r="F42" s="2" t="s">
        <v>13</v>
      </c>
      <c r="G42" s="3">
        <f t="shared" si="4"/>
        <v>25</v>
      </c>
    </row>
    <row r="43" spans="1:7" ht="15.75" customHeight="1" x14ac:dyDescent="0.25">
      <c r="G43" s="3"/>
    </row>
    <row r="44" spans="1:7" ht="12.5" x14ac:dyDescent="0.25">
      <c r="A44" s="1" t="s">
        <v>17</v>
      </c>
      <c r="G44" s="3"/>
    </row>
    <row r="45" spans="1:7" ht="15.75" customHeight="1" x14ac:dyDescent="0.25">
      <c r="G45" s="3"/>
    </row>
    <row r="46" spans="1:7" ht="12.5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/>
      <c r="G46" s="3"/>
    </row>
    <row r="47" spans="1:7" ht="12.5" x14ac:dyDescent="0.25">
      <c r="A47" s="2" t="s">
        <v>6</v>
      </c>
      <c r="B47" s="3">
        <v>3</v>
      </c>
      <c r="C47" s="3">
        <v>4</v>
      </c>
      <c r="D47" s="3">
        <f>PRODUCT(C47,5)</f>
        <v>20</v>
      </c>
      <c r="E47" s="3">
        <f>PRODUCT(B47,D47)</f>
        <v>60</v>
      </c>
      <c r="F47" s="2"/>
      <c r="G47" s="3"/>
    </row>
    <row r="48" spans="1:7" ht="12.5" x14ac:dyDescent="0.25">
      <c r="A48" s="2" t="s">
        <v>7</v>
      </c>
      <c r="B48" s="3">
        <v>3</v>
      </c>
      <c r="C48" s="3">
        <v>6</v>
      </c>
      <c r="D48" s="3">
        <f t="shared" ref="D48:D50" si="9">PRODUCT(C48,5)</f>
        <v>30</v>
      </c>
      <c r="E48" s="3">
        <f t="shared" ref="E48:E52" si="10">PRODUCT(B48,D48)</f>
        <v>90</v>
      </c>
      <c r="F48" s="2"/>
      <c r="G48" s="3"/>
    </row>
    <row r="49" spans="1:7" ht="12.5" x14ac:dyDescent="0.25">
      <c r="A49" s="2" t="s">
        <v>8</v>
      </c>
      <c r="B49" s="3">
        <v>1</v>
      </c>
      <c r="C49" s="3">
        <v>5</v>
      </c>
      <c r="D49" s="3">
        <f t="shared" si="9"/>
        <v>25</v>
      </c>
      <c r="E49" s="3">
        <f t="shared" si="10"/>
        <v>25</v>
      </c>
      <c r="F49" s="2"/>
      <c r="G49" s="3"/>
    </row>
    <row r="50" spans="1:7" ht="12.5" x14ac:dyDescent="0.25">
      <c r="A50" s="2" t="s">
        <v>9</v>
      </c>
      <c r="B50" s="3">
        <v>4</v>
      </c>
      <c r="C50" s="3">
        <v>4</v>
      </c>
      <c r="D50" s="3">
        <f t="shared" si="9"/>
        <v>20</v>
      </c>
      <c r="E50" s="3">
        <f t="shared" si="10"/>
        <v>80</v>
      </c>
      <c r="F50" s="2"/>
      <c r="G50" s="3"/>
    </row>
    <row r="51" spans="1:7" ht="12.5" x14ac:dyDescent="0.25">
      <c r="A51" s="2" t="s">
        <v>10</v>
      </c>
      <c r="B51" s="3">
        <v>4</v>
      </c>
      <c r="C51" s="3">
        <v>4</v>
      </c>
      <c r="D51" s="3">
        <f>PRODUCT(C51,5)</f>
        <v>20</v>
      </c>
      <c r="E51" s="3">
        <f t="shared" si="10"/>
        <v>80</v>
      </c>
      <c r="F51" s="2"/>
      <c r="G51" s="3"/>
    </row>
    <row r="52" spans="1:7" ht="12.5" x14ac:dyDescent="0.25">
      <c r="A52" s="2" t="s">
        <v>11</v>
      </c>
      <c r="B52" s="3">
        <v>0</v>
      </c>
      <c r="C52" s="3">
        <f>D52/5</f>
        <v>7</v>
      </c>
      <c r="D52" s="3">
        <v>35</v>
      </c>
      <c r="E52" s="3">
        <f t="shared" si="10"/>
        <v>0</v>
      </c>
      <c r="F52" s="2"/>
      <c r="G52" s="3"/>
    </row>
    <row r="53" spans="1:7" ht="12.5" x14ac:dyDescent="0.25">
      <c r="A53" s="2" t="s">
        <v>12</v>
      </c>
      <c r="B53" s="3">
        <f>SUM(B47,B48,B49,B50,B51,B52)</f>
        <v>15</v>
      </c>
      <c r="C53" s="2"/>
      <c r="D53" s="2"/>
      <c r="E53" s="3">
        <f>SUM(E47:E52)</f>
        <v>335</v>
      </c>
      <c r="F53" s="2" t="s">
        <v>13</v>
      </c>
      <c r="G53" s="3">
        <f t="shared" si="4"/>
        <v>22.333333333333332</v>
      </c>
    </row>
    <row r="54" spans="1:7" ht="15.75" customHeight="1" x14ac:dyDescent="0.25">
      <c r="G54" s="3"/>
    </row>
    <row r="55" spans="1:7" ht="12.5" x14ac:dyDescent="0.25">
      <c r="A55" s="1" t="s">
        <v>18</v>
      </c>
      <c r="G55" s="3"/>
    </row>
    <row r="56" spans="1:7" ht="15.75" customHeight="1" x14ac:dyDescent="0.25">
      <c r="G56" s="3"/>
    </row>
    <row r="57" spans="1:7" ht="12.5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/>
      <c r="G57" s="3"/>
    </row>
    <row r="58" spans="1:7" ht="12.5" x14ac:dyDescent="0.25">
      <c r="A58" s="2" t="s">
        <v>6</v>
      </c>
      <c r="B58" s="3">
        <v>5</v>
      </c>
      <c r="C58" s="3">
        <v>10</v>
      </c>
      <c r="D58" s="3">
        <f>PRODUCT(C58,5)</f>
        <v>50</v>
      </c>
      <c r="E58" s="3">
        <f>PRODUCT(B58,D58)</f>
        <v>250</v>
      </c>
      <c r="F58" s="2"/>
      <c r="G58" s="3"/>
    </row>
    <row r="59" spans="1:7" ht="12.5" x14ac:dyDescent="0.25">
      <c r="A59" s="2" t="s">
        <v>7</v>
      </c>
      <c r="B59" s="3">
        <v>4</v>
      </c>
      <c r="C59" s="3">
        <v>10</v>
      </c>
      <c r="D59" s="3">
        <f t="shared" ref="D59:D62" si="11">PRODUCT(C59,5)</f>
        <v>50</v>
      </c>
      <c r="E59" s="3">
        <f t="shared" ref="E59:E63" si="12">PRODUCT(B59,D59)</f>
        <v>200</v>
      </c>
      <c r="F59" s="2"/>
      <c r="G59" s="3"/>
    </row>
    <row r="60" spans="1:7" ht="12.5" x14ac:dyDescent="0.25">
      <c r="A60" s="2" t="s">
        <v>8</v>
      </c>
      <c r="B60" s="3">
        <v>2</v>
      </c>
      <c r="C60" s="3">
        <v>13</v>
      </c>
      <c r="D60" s="3">
        <f t="shared" si="11"/>
        <v>65</v>
      </c>
      <c r="E60" s="3">
        <f t="shared" si="12"/>
        <v>130</v>
      </c>
      <c r="F60" s="2"/>
      <c r="G60" s="3"/>
    </row>
    <row r="61" spans="1:7" ht="12.5" x14ac:dyDescent="0.25">
      <c r="A61" s="2" t="s">
        <v>9</v>
      </c>
      <c r="B61" s="3">
        <v>3</v>
      </c>
      <c r="C61" s="3">
        <v>14</v>
      </c>
      <c r="D61" s="3">
        <f t="shared" si="11"/>
        <v>70</v>
      </c>
      <c r="E61" s="3">
        <f t="shared" si="12"/>
        <v>210</v>
      </c>
      <c r="F61" s="2"/>
      <c r="G61" s="3"/>
    </row>
    <row r="62" spans="1:7" ht="12.5" x14ac:dyDescent="0.25">
      <c r="A62" s="2" t="s">
        <v>10</v>
      </c>
      <c r="B62" s="3">
        <v>1</v>
      </c>
      <c r="C62" s="3">
        <v>7</v>
      </c>
      <c r="D62" s="3">
        <f t="shared" si="11"/>
        <v>35</v>
      </c>
      <c r="E62" s="3">
        <f t="shared" si="12"/>
        <v>35</v>
      </c>
      <c r="F62" s="2"/>
      <c r="G62" s="3"/>
    </row>
    <row r="63" spans="1:7" ht="12.5" x14ac:dyDescent="0.25">
      <c r="A63" s="2" t="s">
        <v>11</v>
      </c>
      <c r="B63" s="3">
        <v>0</v>
      </c>
      <c r="C63" s="3">
        <f>D63/5</f>
        <v>6</v>
      </c>
      <c r="D63" s="3">
        <v>30</v>
      </c>
      <c r="E63" s="3">
        <f t="shared" si="12"/>
        <v>0</v>
      </c>
      <c r="F63" s="2"/>
      <c r="G63" s="3"/>
    </row>
    <row r="64" spans="1:7" ht="12.5" x14ac:dyDescent="0.25">
      <c r="A64" s="2" t="s">
        <v>12</v>
      </c>
      <c r="B64" s="3">
        <f>SUM(B58,B59,B60,B61,B62,B63)</f>
        <v>15</v>
      </c>
      <c r="C64" s="2"/>
      <c r="D64" s="2"/>
      <c r="E64" s="3">
        <f>SUM(E58:E63)</f>
        <v>825</v>
      </c>
      <c r="F64" s="2" t="s">
        <v>13</v>
      </c>
      <c r="G64" s="3">
        <f t="shared" si="4"/>
        <v>55</v>
      </c>
    </row>
    <row r="65" spans="1:7" ht="12.5" x14ac:dyDescent="0.25">
      <c r="A65" s="2"/>
      <c r="B65" s="2"/>
      <c r="C65" s="2"/>
      <c r="D65" s="2"/>
      <c r="E65" s="2"/>
      <c r="F65" s="2"/>
      <c r="G65" s="3"/>
    </row>
    <row r="66" spans="1:7" ht="12.5" x14ac:dyDescent="0.25">
      <c r="A66" s="2" t="s">
        <v>19</v>
      </c>
      <c r="B66" s="2"/>
      <c r="C66" s="2"/>
      <c r="D66" s="2"/>
      <c r="E66" s="2"/>
      <c r="F66" s="2"/>
      <c r="G66" s="3"/>
    </row>
    <row r="67" spans="1:7" ht="12.5" x14ac:dyDescent="0.25">
      <c r="A67" s="2"/>
      <c r="B67" s="2"/>
      <c r="C67" s="2"/>
      <c r="D67" s="2"/>
      <c r="E67" s="2"/>
      <c r="F67" s="2"/>
      <c r="G67" s="3"/>
    </row>
    <row r="68" spans="1:7" ht="12.5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/>
      <c r="G68" s="3"/>
    </row>
    <row r="69" spans="1:7" ht="12.5" x14ac:dyDescent="0.25">
      <c r="A69" s="2" t="s">
        <v>6</v>
      </c>
      <c r="B69" s="3">
        <v>5</v>
      </c>
      <c r="C69" s="3">
        <v>2</v>
      </c>
      <c r="D69" s="3">
        <f>PRODUCT(C69,5)</f>
        <v>10</v>
      </c>
      <c r="E69" s="3">
        <f>PRODUCT(B69,D69)</f>
        <v>50</v>
      </c>
      <c r="F69" s="2"/>
      <c r="G69" s="3"/>
    </row>
    <row r="70" spans="1:7" ht="12.5" x14ac:dyDescent="0.25">
      <c r="A70" s="2" t="s">
        <v>7</v>
      </c>
      <c r="B70" s="3">
        <v>3</v>
      </c>
      <c r="C70" s="3">
        <v>12</v>
      </c>
      <c r="D70" s="3">
        <f t="shared" ref="D70:D73" si="13">PRODUCT(C70,5)</f>
        <v>60</v>
      </c>
      <c r="E70" s="3">
        <f t="shared" ref="E70:E74" si="14">PRODUCT(B70,D70)</f>
        <v>180</v>
      </c>
      <c r="F70" s="2"/>
      <c r="G70" s="3"/>
    </row>
    <row r="71" spans="1:7" ht="12.5" x14ac:dyDescent="0.25">
      <c r="A71" s="2" t="s">
        <v>8</v>
      </c>
      <c r="B71" s="3">
        <v>2</v>
      </c>
      <c r="C71" s="3">
        <v>11</v>
      </c>
      <c r="D71" s="3">
        <f t="shared" si="13"/>
        <v>55</v>
      </c>
      <c r="E71" s="3">
        <f t="shared" si="14"/>
        <v>110</v>
      </c>
      <c r="F71" s="2"/>
      <c r="G71" s="3"/>
    </row>
    <row r="72" spans="1:7" ht="12.5" x14ac:dyDescent="0.25">
      <c r="A72" s="2" t="s">
        <v>9</v>
      </c>
      <c r="B72" s="3">
        <v>2</v>
      </c>
      <c r="C72" s="3">
        <v>15</v>
      </c>
      <c r="D72" s="3">
        <f t="shared" si="13"/>
        <v>75</v>
      </c>
      <c r="E72" s="3">
        <f t="shared" si="14"/>
        <v>150</v>
      </c>
      <c r="F72" s="2"/>
      <c r="G72" s="3"/>
    </row>
    <row r="73" spans="1:7" ht="12.5" x14ac:dyDescent="0.25">
      <c r="A73" s="2" t="s">
        <v>10</v>
      </c>
      <c r="B73" s="3">
        <v>2</v>
      </c>
      <c r="C73" s="3">
        <v>6</v>
      </c>
      <c r="D73" s="3">
        <f t="shared" si="13"/>
        <v>30</v>
      </c>
      <c r="E73" s="3">
        <f t="shared" si="14"/>
        <v>60</v>
      </c>
      <c r="F73" s="2"/>
      <c r="G73" s="3"/>
    </row>
    <row r="74" spans="1:7" ht="12.5" x14ac:dyDescent="0.25">
      <c r="A74" s="2" t="s">
        <v>11</v>
      </c>
      <c r="B74" s="3">
        <v>1</v>
      </c>
      <c r="C74" s="3">
        <f>D74/5</f>
        <v>16</v>
      </c>
      <c r="D74" s="3">
        <v>80</v>
      </c>
      <c r="E74" s="3">
        <f t="shared" si="14"/>
        <v>80</v>
      </c>
      <c r="F74" s="2"/>
      <c r="G74" s="3"/>
    </row>
    <row r="75" spans="1:7" ht="12.5" x14ac:dyDescent="0.25">
      <c r="A75" s="2" t="s">
        <v>12</v>
      </c>
      <c r="B75" s="3">
        <f>SUM(B69,B70,B71,B72,B73,B74)</f>
        <v>15</v>
      </c>
      <c r="C75" s="2"/>
      <c r="D75" s="2"/>
      <c r="E75" s="3">
        <f>SUM(E69:E74)</f>
        <v>630</v>
      </c>
      <c r="F75" s="2" t="s">
        <v>13</v>
      </c>
      <c r="G75" s="3">
        <f t="shared" ref="G75:G108" si="15">E75/B75</f>
        <v>42</v>
      </c>
    </row>
    <row r="76" spans="1:7" ht="12.5" x14ac:dyDescent="0.25">
      <c r="A76" s="2"/>
      <c r="B76" s="2"/>
      <c r="C76" s="2"/>
      <c r="D76" s="2"/>
      <c r="E76" s="2"/>
      <c r="F76" s="2"/>
      <c r="G76" s="3"/>
    </row>
    <row r="77" spans="1:7" ht="12.5" x14ac:dyDescent="0.25">
      <c r="A77" s="2" t="s">
        <v>20</v>
      </c>
      <c r="B77" s="2"/>
      <c r="C77" s="2"/>
      <c r="D77" s="2"/>
      <c r="E77" s="2"/>
      <c r="F77" s="2"/>
      <c r="G77" s="3"/>
    </row>
    <row r="78" spans="1:7" ht="12.5" x14ac:dyDescent="0.25">
      <c r="A78" s="2"/>
      <c r="B78" s="2"/>
      <c r="C78" s="2"/>
      <c r="D78" s="2"/>
      <c r="E78" s="2"/>
      <c r="F78" s="2"/>
      <c r="G78" s="3"/>
    </row>
    <row r="79" spans="1:7" ht="12.5" x14ac:dyDescent="0.25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/>
      <c r="G79" s="3"/>
    </row>
    <row r="80" spans="1:7" ht="12.5" x14ac:dyDescent="0.25">
      <c r="A80" s="2" t="s">
        <v>6</v>
      </c>
      <c r="B80" s="3">
        <v>2</v>
      </c>
      <c r="C80" s="3">
        <v>9</v>
      </c>
      <c r="D80" s="3">
        <f>PRODUCT(C80,5)</f>
        <v>45</v>
      </c>
      <c r="E80" s="3">
        <f>PRODUCT(B80,D80)</f>
        <v>90</v>
      </c>
      <c r="F80" s="2"/>
      <c r="G80" s="3"/>
    </row>
    <row r="81" spans="1:7" ht="12.5" x14ac:dyDescent="0.25">
      <c r="A81" s="2" t="s">
        <v>7</v>
      </c>
      <c r="B81" s="3">
        <v>3</v>
      </c>
      <c r="C81" s="3">
        <v>14</v>
      </c>
      <c r="D81" s="3">
        <f t="shared" ref="D81:D84" si="16">PRODUCT(C81,5)</f>
        <v>70</v>
      </c>
      <c r="E81" s="3">
        <f t="shared" ref="E81:E85" si="17">PRODUCT(B81,D81)</f>
        <v>210</v>
      </c>
      <c r="F81" s="2"/>
      <c r="G81" s="3"/>
    </row>
    <row r="82" spans="1:7" ht="12.5" x14ac:dyDescent="0.25">
      <c r="A82" s="2" t="s">
        <v>8</v>
      </c>
      <c r="B82" s="3">
        <v>1</v>
      </c>
      <c r="C82" s="3">
        <v>17</v>
      </c>
      <c r="D82" s="3">
        <f t="shared" si="16"/>
        <v>85</v>
      </c>
      <c r="E82" s="3">
        <f t="shared" si="17"/>
        <v>85</v>
      </c>
      <c r="F82" s="2"/>
      <c r="G82" s="3"/>
    </row>
    <row r="83" spans="1:7" ht="12.5" x14ac:dyDescent="0.25">
      <c r="A83" s="2" t="s">
        <v>9</v>
      </c>
      <c r="B83" s="3">
        <v>1</v>
      </c>
      <c r="C83" s="3">
        <v>4</v>
      </c>
      <c r="D83" s="3">
        <f t="shared" si="16"/>
        <v>20</v>
      </c>
      <c r="E83" s="3">
        <f t="shared" si="17"/>
        <v>20</v>
      </c>
      <c r="F83" s="2"/>
      <c r="G83" s="3"/>
    </row>
    <row r="84" spans="1:7" ht="12.5" x14ac:dyDescent="0.25">
      <c r="A84" s="2" t="s">
        <v>10</v>
      </c>
      <c r="B84" s="3">
        <v>3</v>
      </c>
      <c r="C84" s="3">
        <v>17</v>
      </c>
      <c r="D84" s="3">
        <f t="shared" si="16"/>
        <v>85</v>
      </c>
      <c r="E84" s="3">
        <f t="shared" si="17"/>
        <v>255</v>
      </c>
      <c r="F84" s="2"/>
      <c r="G84" s="3"/>
    </row>
    <row r="85" spans="1:7" ht="12.5" x14ac:dyDescent="0.25">
      <c r="A85" s="2" t="s">
        <v>11</v>
      </c>
      <c r="B85" s="3">
        <v>5</v>
      </c>
      <c r="C85" s="3">
        <f>D85/5</f>
        <v>19</v>
      </c>
      <c r="D85" s="3">
        <v>95</v>
      </c>
      <c r="E85" s="3">
        <f t="shared" si="17"/>
        <v>475</v>
      </c>
      <c r="F85" s="2"/>
      <c r="G85" s="3"/>
    </row>
    <row r="86" spans="1:7" ht="12.5" x14ac:dyDescent="0.25">
      <c r="A86" s="2" t="s">
        <v>12</v>
      </c>
      <c r="B86" s="3">
        <f>SUM(B80,B81,B82,B83,B84,B85)</f>
        <v>15</v>
      </c>
      <c r="C86" s="2"/>
      <c r="D86" s="2"/>
      <c r="E86" s="3">
        <f>SUM(E80:E85)</f>
        <v>1135</v>
      </c>
      <c r="F86" s="2" t="s">
        <v>13</v>
      </c>
      <c r="G86" s="3">
        <f t="shared" si="15"/>
        <v>75.666666666666671</v>
      </c>
    </row>
    <row r="87" spans="1:7" ht="12.5" x14ac:dyDescent="0.25">
      <c r="A87" s="2"/>
      <c r="B87" s="2"/>
      <c r="C87" s="2"/>
      <c r="D87" s="2"/>
      <c r="E87" s="2"/>
      <c r="F87" s="2"/>
      <c r="G87" s="3"/>
    </row>
    <row r="88" spans="1:7" ht="12.5" x14ac:dyDescent="0.25">
      <c r="A88" s="2" t="s">
        <v>21</v>
      </c>
      <c r="B88" s="2"/>
      <c r="C88" s="2"/>
      <c r="D88" s="2"/>
      <c r="E88" s="2"/>
      <c r="F88" s="2"/>
      <c r="G88" s="3"/>
    </row>
    <row r="89" spans="1:7" ht="12.5" x14ac:dyDescent="0.25">
      <c r="A89" s="2"/>
      <c r="B89" s="2"/>
      <c r="C89" s="2"/>
      <c r="D89" s="2"/>
      <c r="E89" s="2"/>
      <c r="F89" s="2"/>
      <c r="G89" s="3"/>
    </row>
    <row r="90" spans="1:7" ht="12.5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/>
      <c r="G90" s="3"/>
    </row>
    <row r="91" spans="1:7" ht="12.5" x14ac:dyDescent="0.25">
      <c r="A91" s="2" t="s">
        <v>6</v>
      </c>
      <c r="B91" s="3">
        <v>5</v>
      </c>
      <c r="C91" s="3">
        <v>5</v>
      </c>
      <c r="D91" s="3">
        <f>PRODUCT(C91,5)</f>
        <v>25</v>
      </c>
      <c r="E91" s="3">
        <f>PRODUCT(B91,D91)</f>
        <v>125</v>
      </c>
      <c r="F91" s="2"/>
      <c r="G91" s="3"/>
    </row>
    <row r="92" spans="1:7" ht="12.5" x14ac:dyDescent="0.25">
      <c r="A92" s="2" t="s">
        <v>7</v>
      </c>
      <c r="B92" s="3">
        <v>1</v>
      </c>
      <c r="C92" s="3">
        <v>1</v>
      </c>
      <c r="D92" s="3">
        <f t="shared" ref="D92:D95" si="18">PRODUCT(C92,5)</f>
        <v>5</v>
      </c>
      <c r="E92" s="3">
        <f t="shared" ref="E92:E96" si="19">PRODUCT(B92,D92)</f>
        <v>5</v>
      </c>
      <c r="F92" s="2"/>
      <c r="G92" s="3"/>
    </row>
    <row r="93" spans="1:7" ht="12.5" x14ac:dyDescent="0.25">
      <c r="A93" s="2" t="s">
        <v>8</v>
      </c>
      <c r="B93" s="3">
        <v>1</v>
      </c>
      <c r="C93" s="3">
        <v>5</v>
      </c>
      <c r="D93" s="3">
        <f t="shared" si="18"/>
        <v>25</v>
      </c>
      <c r="E93" s="3">
        <f t="shared" si="19"/>
        <v>25</v>
      </c>
      <c r="F93" s="2"/>
      <c r="G93" s="3"/>
    </row>
    <row r="94" spans="1:7" ht="12.5" x14ac:dyDescent="0.25">
      <c r="A94" s="2" t="s">
        <v>9</v>
      </c>
      <c r="B94" s="3">
        <v>3</v>
      </c>
      <c r="C94" s="3">
        <v>18</v>
      </c>
      <c r="D94" s="3">
        <f t="shared" si="18"/>
        <v>90</v>
      </c>
      <c r="E94" s="3">
        <f t="shared" si="19"/>
        <v>270</v>
      </c>
      <c r="F94" s="2"/>
      <c r="G94" s="3"/>
    </row>
    <row r="95" spans="1:7" ht="12.5" x14ac:dyDescent="0.25">
      <c r="A95" s="2" t="s">
        <v>10</v>
      </c>
      <c r="B95" s="3">
        <v>2</v>
      </c>
      <c r="C95" s="3">
        <v>8</v>
      </c>
      <c r="D95" s="3">
        <f t="shared" si="18"/>
        <v>40</v>
      </c>
      <c r="E95" s="3">
        <f t="shared" si="19"/>
        <v>80</v>
      </c>
      <c r="F95" s="2"/>
      <c r="G95" s="3"/>
    </row>
    <row r="96" spans="1:7" ht="12.5" x14ac:dyDescent="0.25">
      <c r="A96" s="2" t="s">
        <v>11</v>
      </c>
      <c r="B96" s="3">
        <v>3</v>
      </c>
      <c r="C96" s="3">
        <f>D96/5</f>
        <v>10</v>
      </c>
      <c r="D96" s="3">
        <v>50</v>
      </c>
      <c r="E96" s="3">
        <f t="shared" si="19"/>
        <v>150</v>
      </c>
      <c r="F96" s="2"/>
      <c r="G96" s="3"/>
    </row>
    <row r="97" spans="1:7" ht="12.5" x14ac:dyDescent="0.25">
      <c r="A97" s="2" t="s">
        <v>12</v>
      </c>
      <c r="B97" s="3">
        <f>SUM(B91,B92,B93,B94,B95,B96)</f>
        <v>15</v>
      </c>
      <c r="C97" s="2"/>
      <c r="D97" s="2"/>
      <c r="E97" s="3">
        <f>SUM(E91:E96)</f>
        <v>655</v>
      </c>
      <c r="F97" s="2" t="s">
        <v>13</v>
      </c>
      <c r="G97" s="3">
        <f t="shared" si="15"/>
        <v>43.666666666666664</v>
      </c>
    </row>
    <row r="98" spans="1:7" ht="12.5" x14ac:dyDescent="0.25">
      <c r="A98" s="2"/>
      <c r="B98" s="2"/>
      <c r="C98" s="2"/>
      <c r="D98" s="2"/>
      <c r="E98" s="2"/>
      <c r="F98" s="2"/>
      <c r="G98" s="3"/>
    </row>
    <row r="99" spans="1:7" ht="12.5" x14ac:dyDescent="0.25">
      <c r="A99" s="2" t="s">
        <v>22</v>
      </c>
      <c r="B99" s="2"/>
      <c r="C99" s="2"/>
      <c r="D99" s="2"/>
      <c r="E99" s="2"/>
      <c r="F99" s="2"/>
      <c r="G99" s="3"/>
    </row>
    <row r="100" spans="1:7" ht="12.5" x14ac:dyDescent="0.25">
      <c r="A100" s="2"/>
      <c r="B100" s="2"/>
      <c r="C100" s="2"/>
      <c r="D100" s="2"/>
      <c r="E100" s="2"/>
      <c r="F100" s="2"/>
      <c r="G100" s="3"/>
    </row>
    <row r="101" spans="1:7" ht="12.5" x14ac:dyDescent="0.25">
      <c r="A101" s="2" t="s">
        <v>1</v>
      </c>
      <c r="B101" s="2" t="s">
        <v>2</v>
      </c>
      <c r="C101" s="2" t="s">
        <v>3</v>
      </c>
      <c r="D101" s="2" t="s">
        <v>4</v>
      </c>
      <c r="E101" s="2" t="s">
        <v>5</v>
      </c>
      <c r="F101" s="2"/>
      <c r="G101" s="3"/>
    </row>
    <row r="102" spans="1:7" ht="12.5" x14ac:dyDescent="0.25">
      <c r="A102" s="2" t="s">
        <v>6</v>
      </c>
      <c r="B102" s="3">
        <v>2</v>
      </c>
      <c r="C102" s="3">
        <v>10</v>
      </c>
      <c r="D102" s="3">
        <f>PRODUCT(C102,5)</f>
        <v>50</v>
      </c>
      <c r="E102" s="3">
        <f>PRODUCT(B102,D102)</f>
        <v>100</v>
      </c>
      <c r="F102" s="2"/>
      <c r="G102" s="3"/>
    </row>
    <row r="103" spans="1:7" ht="12.5" x14ac:dyDescent="0.25">
      <c r="A103" s="2" t="s">
        <v>7</v>
      </c>
      <c r="B103" s="3">
        <v>4</v>
      </c>
      <c r="C103" s="3">
        <v>10</v>
      </c>
      <c r="D103" s="3">
        <f t="shared" ref="D103:D106" si="20">PRODUCT(C103,5)</f>
        <v>50</v>
      </c>
      <c r="E103" s="3">
        <f t="shared" ref="E103:E107" si="21">PRODUCT(B103,D103)</f>
        <v>200</v>
      </c>
      <c r="F103" s="2"/>
      <c r="G103" s="3"/>
    </row>
    <row r="104" spans="1:7" ht="12.5" x14ac:dyDescent="0.25">
      <c r="A104" s="2" t="s">
        <v>8</v>
      </c>
      <c r="B104" s="3">
        <v>3</v>
      </c>
      <c r="C104" s="3">
        <v>2</v>
      </c>
      <c r="D104" s="3">
        <f t="shared" si="20"/>
        <v>10</v>
      </c>
      <c r="E104" s="3">
        <f t="shared" si="21"/>
        <v>30</v>
      </c>
      <c r="F104" s="2"/>
      <c r="G104" s="3"/>
    </row>
    <row r="105" spans="1:7" ht="12.5" x14ac:dyDescent="0.25">
      <c r="A105" s="2" t="s">
        <v>9</v>
      </c>
      <c r="B105" s="3">
        <v>0</v>
      </c>
      <c r="C105" s="3">
        <v>1</v>
      </c>
      <c r="D105" s="3">
        <f t="shared" si="20"/>
        <v>5</v>
      </c>
      <c r="E105" s="3">
        <f t="shared" si="21"/>
        <v>0</v>
      </c>
      <c r="F105" s="2"/>
      <c r="G105" s="3"/>
    </row>
    <row r="106" spans="1:7" ht="12.5" x14ac:dyDescent="0.25">
      <c r="A106" s="2" t="s">
        <v>10</v>
      </c>
      <c r="B106" s="3">
        <v>2</v>
      </c>
      <c r="C106" s="3">
        <v>7</v>
      </c>
      <c r="D106" s="3">
        <f t="shared" si="20"/>
        <v>35</v>
      </c>
      <c r="E106" s="3">
        <f t="shared" si="21"/>
        <v>70</v>
      </c>
      <c r="F106" s="2"/>
      <c r="G106" s="3"/>
    </row>
    <row r="107" spans="1:7" ht="12.5" x14ac:dyDescent="0.25">
      <c r="A107" s="2" t="s">
        <v>11</v>
      </c>
      <c r="B107" s="3">
        <v>4</v>
      </c>
      <c r="C107" s="3">
        <f>D107/5</f>
        <v>10</v>
      </c>
      <c r="D107" s="3">
        <v>50</v>
      </c>
      <c r="E107" s="3">
        <f t="shared" si="21"/>
        <v>200</v>
      </c>
      <c r="F107" s="2"/>
      <c r="G107" s="3"/>
    </row>
    <row r="108" spans="1:7" ht="12.5" x14ac:dyDescent="0.25">
      <c r="A108" s="2" t="s">
        <v>12</v>
      </c>
      <c r="B108" s="3">
        <f>SUM(B102,B103,B104,B105,B106,B107)</f>
        <v>15</v>
      </c>
      <c r="C108" s="2"/>
      <c r="D108" s="2"/>
      <c r="E108" s="3">
        <f>SUM(E102:E107)</f>
        <v>600</v>
      </c>
      <c r="F108" s="2" t="s">
        <v>13</v>
      </c>
      <c r="G108" s="3">
        <f t="shared" si="15"/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4"/>
  <sheetViews>
    <sheetView topLeftCell="A51" workbookViewId="0">
      <selection activeCell="I10" sqref="I10"/>
    </sheetView>
  </sheetViews>
  <sheetFormatPr defaultColWidth="12.54296875" defaultRowHeight="15.75" customHeight="1" x14ac:dyDescent="0.25"/>
  <sheetData>
    <row r="1" spans="1:7" ht="12.5" x14ac:dyDescent="0.25">
      <c r="A1" s="1" t="s">
        <v>0</v>
      </c>
    </row>
    <row r="2" spans="1:7" ht="12.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</row>
    <row r="3" spans="1:7" ht="12.5" x14ac:dyDescent="0.25">
      <c r="A3" s="2" t="s">
        <v>6</v>
      </c>
      <c r="B3" s="3">
        <v>3</v>
      </c>
      <c r="C3" s="3">
        <v>12</v>
      </c>
      <c r="D3" s="3">
        <f>PRODUCT(C3,5)</f>
        <v>60</v>
      </c>
      <c r="E3" s="3">
        <f>PRODUCT(B3,D3)</f>
        <v>180</v>
      </c>
      <c r="F3" s="2"/>
      <c r="G3" s="2"/>
    </row>
    <row r="4" spans="1:7" ht="12.5" x14ac:dyDescent="0.25">
      <c r="A4" s="2" t="s">
        <v>7</v>
      </c>
      <c r="B4" s="3">
        <v>1</v>
      </c>
      <c r="C4" s="3">
        <v>5</v>
      </c>
      <c r="D4" s="3">
        <f t="shared" ref="D4:D7" si="0">PRODUCT(C4,5)</f>
        <v>25</v>
      </c>
      <c r="E4" s="3">
        <f t="shared" ref="E4:E8" si="1">PRODUCT(B4,D4)</f>
        <v>25</v>
      </c>
      <c r="F4" s="2"/>
      <c r="G4" s="2"/>
    </row>
    <row r="5" spans="1:7" ht="12.5" x14ac:dyDescent="0.25">
      <c r="A5" s="2" t="s">
        <v>8</v>
      </c>
      <c r="B5" s="3">
        <v>2</v>
      </c>
      <c r="C5" s="3">
        <v>10</v>
      </c>
      <c r="D5" s="3">
        <f t="shared" si="0"/>
        <v>50</v>
      </c>
      <c r="E5" s="3">
        <f t="shared" si="1"/>
        <v>100</v>
      </c>
      <c r="F5" s="2"/>
      <c r="G5" s="2"/>
    </row>
    <row r="6" spans="1:7" ht="12.5" x14ac:dyDescent="0.25">
      <c r="A6" s="2" t="s">
        <v>9</v>
      </c>
      <c r="B6" s="3">
        <v>2</v>
      </c>
      <c r="C6" s="3">
        <v>10</v>
      </c>
      <c r="D6" s="3">
        <f t="shared" si="0"/>
        <v>50</v>
      </c>
      <c r="E6" s="3">
        <f t="shared" si="1"/>
        <v>100</v>
      </c>
      <c r="F6" s="2"/>
      <c r="G6" s="2"/>
    </row>
    <row r="7" spans="1:7" ht="12.5" x14ac:dyDescent="0.25">
      <c r="A7" s="2" t="s">
        <v>10</v>
      </c>
      <c r="B7" s="3">
        <v>4</v>
      </c>
      <c r="C7" s="3">
        <v>5</v>
      </c>
      <c r="D7" s="3">
        <f t="shared" si="0"/>
        <v>25</v>
      </c>
      <c r="E7" s="3">
        <f t="shared" si="1"/>
        <v>100</v>
      </c>
      <c r="F7" s="2"/>
      <c r="G7" s="2"/>
    </row>
    <row r="8" spans="1:7" ht="12.5" x14ac:dyDescent="0.25">
      <c r="A8" s="2" t="s">
        <v>11</v>
      </c>
      <c r="B8" s="3">
        <v>3</v>
      </c>
      <c r="C8" s="3">
        <f>D8/5</f>
        <v>10</v>
      </c>
      <c r="D8" s="3">
        <v>50</v>
      </c>
      <c r="E8" s="3">
        <f t="shared" si="1"/>
        <v>150</v>
      </c>
      <c r="F8" s="2"/>
      <c r="G8" s="2"/>
    </row>
    <row r="9" spans="1:7" ht="12.5" x14ac:dyDescent="0.25">
      <c r="A9" s="2" t="s">
        <v>12</v>
      </c>
      <c r="B9" s="3">
        <f>SUM(B3,B4,B5,B6,B7,B8)</f>
        <v>15</v>
      </c>
      <c r="C9" s="2"/>
      <c r="D9" s="2"/>
      <c r="E9" s="3">
        <f>SUM(E3:E8)</f>
        <v>655</v>
      </c>
      <c r="F9" s="2" t="s">
        <v>13</v>
      </c>
      <c r="G9" s="3">
        <f>E9/B9</f>
        <v>43.666666666666664</v>
      </c>
    </row>
    <row r="10" spans="1:7" ht="15.75" customHeight="1" x14ac:dyDescent="0.25">
      <c r="G10" s="3"/>
    </row>
    <row r="11" spans="1:7" ht="12.5" x14ac:dyDescent="0.25">
      <c r="A11" s="1" t="s">
        <v>14</v>
      </c>
      <c r="G11" s="3"/>
    </row>
    <row r="12" spans="1:7" ht="15.75" customHeight="1" x14ac:dyDescent="0.25">
      <c r="G12" s="3"/>
    </row>
    <row r="13" spans="1:7" ht="12.5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/>
      <c r="G13" s="3"/>
    </row>
    <row r="14" spans="1:7" ht="12.5" x14ac:dyDescent="0.25">
      <c r="A14" s="2" t="s">
        <v>6</v>
      </c>
      <c r="B14" s="3">
        <v>4</v>
      </c>
      <c r="C14" s="3">
        <v>15</v>
      </c>
      <c r="D14" s="3">
        <f>PRODUCT(C14,5)</f>
        <v>75</v>
      </c>
      <c r="E14" s="3">
        <f>PRODUCT(B14,D14)</f>
        <v>300</v>
      </c>
      <c r="F14" s="2"/>
      <c r="G14" s="3"/>
    </row>
    <row r="15" spans="1:7" ht="12.5" x14ac:dyDescent="0.25">
      <c r="A15" s="2" t="s">
        <v>7</v>
      </c>
      <c r="B15" s="3">
        <v>2</v>
      </c>
      <c r="C15" s="3">
        <v>6</v>
      </c>
      <c r="D15" s="3">
        <f t="shared" ref="D15:D18" si="2">PRODUCT(C15,5)</f>
        <v>30</v>
      </c>
      <c r="E15" s="3">
        <f t="shared" ref="E15:E19" si="3">PRODUCT(B15,D15)</f>
        <v>60</v>
      </c>
      <c r="F15" s="2"/>
      <c r="G15" s="3"/>
    </row>
    <row r="16" spans="1:7" ht="12.5" x14ac:dyDescent="0.25">
      <c r="A16" s="2" t="s">
        <v>8</v>
      </c>
      <c r="B16" s="3">
        <v>0</v>
      </c>
      <c r="C16" s="3">
        <v>10</v>
      </c>
      <c r="D16" s="3">
        <f t="shared" si="2"/>
        <v>50</v>
      </c>
      <c r="E16" s="3">
        <f t="shared" si="3"/>
        <v>0</v>
      </c>
      <c r="F16" s="2"/>
      <c r="G16" s="3"/>
    </row>
    <row r="17" spans="1:7" ht="12.5" x14ac:dyDescent="0.25">
      <c r="A17" s="2" t="s">
        <v>9</v>
      </c>
      <c r="B17" s="3">
        <v>1</v>
      </c>
      <c r="C17" s="3">
        <v>10</v>
      </c>
      <c r="D17" s="3">
        <f t="shared" si="2"/>
        <v>50</v>
      </c>
      <c r="E17" s="3">
        <f t="shared" si="3"/>
        <v>50</v>
      </c>
      <c r="F17" s="2"/>
      <c r="G17" s="3"/>
    </row>
    <row r="18" spans="1:7" ht="12.5" x14ac:dyDescent="0.25">
      <c r="A18" s="2" t="s">
        <v>10</v>
      </c>
      <c r="B18" s="3">
        <v>5</v>
      </c>
      <c r="C18" s="3">
        <v>10</v>
      </c>
      <c r="D18" s="3">
        <f t="shared" si="2"/>
        <v>50</v>
      </c>
      <c r="E18" s="3">
        <f t="shared" si="3"/>
        <v>250</v>
      </c>
      <c r="F18" s="2"/>
      <c r="G18" s="3"/>
    </row>
    <row r="19" spans="1:7" ht="12.5" x14ac:dyDescent="0.25">
      <c r="A19" s="2" t="s">
        <v>11</v>
      </c>
      <c r="B19" s="3">
        <v>3</v>
      </c>
      <c r="C19" s="3">
        <f>D19/5</f>
        <v>15</v>
      </c>
      <c r="D19" s="3">
        <v>75</v>
      </c>
      <c r="E19" s="3">
        <f t="shared" si="3"/>
        <v>225</v>
      </c>
      <c r="F19" s="2"/>
      <c r="G19" s="3"/>
    </row>
    <row r="20" spans="1:7" ht="12.5" x14ac:dyDescent="0.25">
      <c r="A20" s="2" t="s">
        <v>12</v>
      </c>
      <c r="B20" s="3">
        <f>SUM(B14,B15,B16,B17,B18,B19)</f>
        <v>15</v>
      </c>
      <c r="C20" s="2"/>
      <c r="D20" s="2"/>
      <c r="E20" s="3">
        <f>SUM(E14:E19)</f>
        <v>885</v>
      </c>
      <c r="F20" s="2" t="s">
        <v>13</v>
      </c>
      <c r="G20" s="3">
        <f t="shared" ref="G20:G64" si="4">E20/B20</f>
        <v>59</v>
      </c>
    </row>
    <row r="21" spans="1:7" ht="15.75" customHeight="1" x14ac:dyDescent="0.25">
      <c r="G21" s="3"/>
    </row>
    <row r="22" spans="1:7" ht="12.5" x14ac:dyDescent="0.25">
      <c r="A22" s="1" t="s">
        <v>15</v>
      </c>
      <c r="G22" s="3"/>
    </row>
    <row r="23" spans="1:7" ht="15.75" customHeight="1" x14ac:dyDescent="0.25">
      <c r="G23" s="3"/>
    </row>
    <row r="24" spans="1:7" ht="12.5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/>
      <c r="G24" s="3"/>
    </row>
    <row r="25" spans="1:7" ht="12.5" x14ac:dyDescent="0.25">
      <c r="A25" s="2" t="s">
        <v>6</v>
      </c>
      <c r="B25" s="3">
        <v>2</v>
      </c>
      <c r="C25" s="3">
        <v>6</v>
      </c>
      <c r="D25" s="3">
        <f>PRODUCT(C25,5)</f>
        <v>30</v>
      </c>
      <c r="E25" s="3">
        <f>PRODUCT(B25,D25)</f>
        <v>60</v>
      </c>
      <c r="F25" s="2"/>
      <c r="G25" s="3"/>
    </row>
    <row r="26" spans="1:7" ht="12.5" x14ac:dyDescent="0.25">
      <c r="A26" s="2" t="s">
        <v>7</v>
      </c>
      <c r="B26" s="3">
        <v>2</v>
      </c>
      <c r="C26" s="3">
        <v>7</v>
      </c>
      <c r="D26" s="3">
        <f t="shared" ref="D26:D29" si="5">PRODUCT(C26,5)</f>
        <v>35</v>
      </c>
      <c r="E26" s="3">
        <f t="shared" ref="E26:E30" si="6">PRODUCT(B26,D26)</f>
        <v>70</v>
      </c>
      <c r="F26" s="2"/>
      <c r="G26" s="3"/>
    </row>
    <row r="27" spans="1:7" ht="12.5" x14ac:dyDescent="0.25">
      <c r="A27" s="2" t="s">
        <v>8</v>
      </c>
      <c r="B27" s="3">
        <v>4</v>
      </c>
      <c r="C27" s="3">
        <v>16</v>
      </c>
      <c r="D27" s="3">
        <f t="shared" si="5"/>
        <v>80</v>
      </c>
      <c r="E27" s="3">
        <f t="shared" si="6"/>
        <v>320</v>
      </c>
      <c r="F27" s="2"/>
      <c r="G27" s="3"/>
    </row>
    <row r="28" spans="1:7" ht="12.5" x14ac:dyDescent="0.25">
      <c r="A28" s="2" t="s">
        <v>9</v>
      </c>
      <c r="B28" s="3">
        <v>5</v>
      </c>
      <c r="C28" s="3">
        <v>16</v>
      </c>
      <c r="D28" s="3">
        <f t="shared" si="5"/>
        <v>80</v>
      </c>
      <c r="E28" s="3">
        <f t="shared" si="6"/>
        <v>400</v>
      </c>
      <c r="F28" s="2"/>
      <c r="G28" s="3"/>
    </row>
    <row r="29" spans="1:7" ht="12.5" x14ac:dyDescent="0.25">
      <c r="A29" s="2" t="s">
        <v>10</v>
      </c>
      <c r="B29" s="3">
        <v>2</v>
      </c>
      <c r="C29" s="3">
        <v>8</v>
      </c>
      <c r="D29" s="3">
        <f t="shared" si="5"/>
        <v>40</v>
      </c>
      <c r="E29" s="3">
        <f t="shared" si="6"/>
        <v>80</v>
      </c>
      <c r="F29" s="2"/>
      <c r="G29" s="3"/>
    </row>
    <row r="30" spans="1:7" ht="12.5" x14ac:dyDescent="0.25">
      <c r="A30" s="2" t="s">
        <v>11</v>
      </c>
      <c r="B30" s="3">
        <v>0</v>
      </c>
      <c r="C30" s="3">
        <f>D30/5</f>
        <v>5</v>
      </c>
      <c r="D30" s="3">
        <v>25</v>
      </c>
      <c r="E30" s="3">
        <f t="shared" si="6"/>
        <v>0</v>
      </c>
      <c r="F30" s="2"/>
      <c r="G30" s="3"/>
    </row>
    <row r="31" spans="1:7" ht="12.5" x14ac:dyDescent="0.25">
      <c r="A31" s="2" t="s">
        <v>12</v>
      </c>
      <c r="B31" s="3">
        <f>SUM(B25,B26,B27,B28,B29,B30)</f>
        <v>15</v>
      </c>
      <c r="C31" s="2"/>
      <c r="D31" s="2"/>
      <c r="E31" s="3">
        <f>SUM(E25:E30)</f>
        <v>930</v>
      </c>
      <c r="F31" s="2" t="s">
        <v>13</v>
      </c>
      <c r="G31" s="3">
        <f t="shared" si="4"/>
        <v>62</v>
      </c>
    </row>
    <row r="32" spans="1:7" ht="15.75" customHeight="1" x14ac:dyDescent="0.25">
      <c r="G32" s="3"/>
    </row>
    <row r="33" spans="1:7" ht="12.5" x14ac:dyDescent="0.25">
      <c r="A33" s="1" t="s">
        <v>16</v>
      </c>
      <c r="G33" s="3"/>
    </row>
    <row r="34" spans="1:7" ht="15.75" customHeight="1" x14ac:dyDescent="0.25">
      <c r="G34" s="3"/>
    </row>
    <row r="35" spans="1:7" ht="12.5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/>
      <c r="G35" s="3"/>
    </row>
    <row r="36" spans="1:7" ht="12.5" x14ac:dyDescent="0.25">
      <c r="A36" s="2" t="s">
        <v>6</v>
      </c>
      <c r="B36" s="3">
        <v>4</v>
      </c>
      <c r="C36" s="3">
        <v>15</v>
      </c>
      <c r="D36" s="3">
        <f>PRODUCT(C36,5)</f>
        <v>75</v>
      </c>
      <c r="E36" s="3">
        <f>PRODUCT(B36,D36)</f>
        <v>300</v>
      </c>
      <c r="F36" s="2"/>
      <c r="G36" s="3"/>
    </row>
    <row r="37" spans="1:7" ht="12.5" x14ac:dyDescent="0.25">
      <c r="A37" s="2" t="s">
        <v>7</v>
      </c>
      <c r="B37" s="3">
        <v>2</v>
      </c>
      <c r="C37" s="3">
        <v>5</v>
      </c>
      <c r="D37" s="3">
        <f t="shared" ref="D37:D40" si="7">PRODUCT(C37,5)</f>
        <v>25</v>
      </c>
      <c r="E37" s="3">
        <f t="shared" ref="E37:E41" si="8">PRODUCT(B37,D37)</f>
        <v>50</v>
      </c>
      <c r="F37" s="2"/>
      <c r="G37" s="3"/>
    </row>
    <row r="38" spans="1:7" ht="12.5" x14ac:dyDescent="0.25">
      <c r="A38" s="2" t="s">
        <v>8</v>
      </c>
      <c r="B38" s="3">
        <v>2</v>
      </c>
      <c r="C38" s="3">
        <v>10</v>
      </c>
      <c r="D38" s="3">
        <f t="shared" si="7"/>
        <v>50</v>
      </c>
      <c r="E38" s="3">
        <f t="shared" si="8"/>
        <v>100</v>
      </c>
      <c r="F38" s="2"/>
      <c r="G38" s="3"/>
    </row>
    <row r="39" spans="1:7" ht="12.5" x14ac:dyDescent="0.25">
      <c r="A39" s="2" t="s">
        <v>9</v>
      </c>
      <c r="B39" s="3">
        <v>0</v>
      </c>
      <c r="C39" s="3">
        <v>10</v>
      </c>
      <c r="D39" s="3">
        <f t="shared" si="7"/>
        <v>50</v>
      </c>
      <c r="E39" s="3">
        <f t="shared" si="8"/>
        <v>0</v>
      </c>
      <c r="F39" s="2"/>
      <c r="G39" s="3"/>
    </row>
    <row r="40" spans="1:7" ht="12.5" x14ac:dyDescent="0.25">
      <c r="A40" s="2" t="s">
        <v>10</v>
      </c>
      <c r="B40" s="3">
        <v>3</v>
      </c>
      <c r="C40" s="3">
        <v>20</v>
      </c>
      <c r="D40" s="3">
        <f t="shared" si="7"/>
        <v>100</v>
      </c>
      <c r="E40" s="3">
        <f t="shared" si="8"/>
        <v>300</v>
      </c>
      <c r="F40" s="2"/>
      <c r="G40" s="3"/>
    </row>
    <row r="41" spans="1:7" ht="12.5" x14ac:dyDescent="0.25">
      <c r="A41" s="2" t="s">
        <v>11</v>
      </c>
      <c r="B41" s="3">
        <v>4</v>
      </c>
      <c r="C41" s="4">
        <f>D41/5</f>
        <v>5</v>
      </c>
      <c r="D41" s="3">
        <v>25</v>
      </c>
      <c r="E41" s="3">
        <f t="shared" si="8"/>
        <v>100</v>
      </c>
      <c r="F41" s="2"/>
      <c r="G41" s="3"/>
    </row>
    <row r="42" spans="1:7" ht="12.5" x14ac:dyDescent="0.25">
      <c r="A42" s="2" t="s">
        <v>12</v>
      </c>
      <c r="B42" s="3">
        <f>SUM(B36,B37,B38,B39,B40,B41)</f>
        <v>15</v>
      </c>
      <c r="C42" s="2"/>
      <c r="D42" s="2"/>
      <c r="E42" s="3">
        <f>SUM(E36:E41)</f>
        <v>850</v>
      </c>
      <c r="F42" s="2" t="s">
        <v>13</v>
      </c>
      <c r="G42" s="3">
        <f t="shared" si="4"/>
        <v>56.666666666666664</v>
      </c>
    </row>
    <row r="43" spans="1:7" ht="15.75" customHeight="1" x14ac:dyDescent="0.25">
      <c r="G43" s="3"/>
    </row>
    <row r="44" spans="1:7" ht="12.5" x14ac:dyDescent="0.25">
      <c r="A44" s="1" t="s">
        <v>17</v>
      </c>
      <c r="G44" s="3"/>
    </row>
    <row r="45" spans="1:7" ht="15.75" customHeight="1" x14ac:dyDescent="0.25">
      <c r="G45" s="3"/>
    </row>
    <row r="46" spans="1:7" ht="12.5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/>
      <c r="G46" s="3"/>
    </row>
    <row r="47" spans="1:7" ht="12.5" x14ac:dyDescent="0.25">
      <c r="A47" s="2" t="s">
        <v>6</v>
      </c>
      <c r="B47" s="3">
        <v>1</v>
      </c>
      <c r="C47" s="3">
        <v>12</v>
      </c>
      <c r="D47" s="3">
        <f>PRODUCT(C47,5)</f>
        <v>60</v>
      </c>
      <c r="E47" s="3">
        <f>PRODUCT(B47,D47)</f>
        <v>60</v>
      </c>
      <c r="F47" s="2"/>
      <c r="G47" s="3"/>
    </row>
    <row r="48" spans="1:7" ht="12.5" x14ac:dyDescent="0.25">
      <c r="A48" s="2" t="s">
        <v>7</v>
      </c>
      <c r="B48" s="3">
        <v>4</v>
      </c>
      <c r="C48" s="3">
        <v>14</v>
      </c>
      <c r="D48" s="3">
        <f t="shared" ref="D48:D51" si="9">PRODUCT(C48,5)</f>
        <v>70</v>
      </c>
      <c r="E48" s="3">
        <f t="shared" ref="E48:E52" si="10">PRODUCT(B48,D48)</f>
        <v>280</v>
      </c>
      <c r="F48" s="2"/>
      <c r="G48" s="3"/>
    </row>
    <row r="49" spans="1:7" ht="12.5" x14ac:dyDescent="0.25">
      <c r="A49" s="2" t="s">
        <v>8</v>
      </c>
      <c r="B49" s="3">
        <v>2</v>
      </c>
      <c r="C49" s="3">
        <v>9</v>
      </c>
      <c r="D49" s="3">
        <f t="shared" si="9"/>
        <v>45</v>
      </c>
      <c r="E49" s="3">
        <f t="shared" si="10"/>
        <v>90</v>
      </c>
      <c r="F49" s="2"/>
      <c r="G49" s="3"/>
    </row>
    <row r="50" spans="1:7" ht="12.5" x14ac:dyDescent="0.25">
      <c r="A50" s="2" t="s">
        <v>9</v>
      </c>
      <c r="B50" s="3">
        <v>1</v>
      </c>
      <c r="C50" s="3">
        <v>12</v>
      </c>
      <c r="D50" s="3">
        <f t="shared" si="9"/>
        <v>60</v>
      </c>
      <c r="E50" s="3">
        <f t="shared" si="10"/>
        <v>60</v>
      </c>
      <c r="F50" s="2"/>
      <c r="G50" s="3"/>
    </row>
    <row r="51" spans="1:7" ht="12.5" x14ac:dyDescent="0.25">
      <c r="A51" s="2" t="s">
        <v>10</v>
      </c>
      <c r="B51" s="3">
        <v>5</v>
      </c>
      <c r="C51" s="3">
        <v>9</v>
      </c>
      <c r="D51" s="3">
        <f t="shared" si="9"/>
        <v>45</v>
      </c>
      <c r="E51" s="3">
        <f t="shared" si="10"/>
        <v>225</v>
      </c>
      <c r="F51" s="2"/>
      <c r="G51" s="3"/>
    </row>
    <row r="52" spans="1:7" ht="12.5" x14ac:dyDescent="0.25">
      <c r="A52" s="2" t="s">
        <v>11</v>
      </c>
      <c r="B52" s="3">
        <v>2</v>
      </c>
      <c r="C52" s="3">
        <f>D52/5</f>
        <v>11</v>
      </c>
      <c r="D52" s="3">
        <v>55</v>
      </c>
      <c r="E52" s="3">
        <f t="shared" si="10"/>
        <v>110</v>
      </c>
      <c r="F52" s="2"/>
      <c r="G52" s="3"/>
    </row>
    <row r="53" spans="1:7" ht="12.5" x14ac:dyDescent="0.25">
      <c r="A53" s="2" t="s">
        <v>12</v>
      </c>
      <c r="B53" s="3">
        <f>SUM(B47,B48,B49,B50,B51,B52)</f>
        <v>15</v>
      </c>
      <c r="C53" s="2"/>
      <c r="D53" s="2"/>
      <c r="E53" s="3">
        <f>SUM(E47:E52)</f>
        <v>825</v>
      </c>
      <c r="F53" s="2" t="s">
        <v>13</v>
      </c>
      <c r="G53" s="3">
        <f t="shared" si="4"/>
        <v>55</v>
      </c>
    </row>
    <row r="54" spans="1:7" ht="15.75" customHeight="1" x14ac:dyDescent="0.25">
      <c r="G54" s="3"/>
    </row>
    <row r="55" spans="1:7" ht="12.5" x14ac:dyDescent="0.25">
      <c r="A55" s="1" t="s">
        <v>18</v>
      </c>
      <c r="G55" s="3"/>
    </row>
    <row r="56" spans="1:7" ht="15.75" customHeight="1" x14ac:dyDescent="0.25">
      <c r="G56" s="3"/>
    </row>
    <row r="57" spans="1:7" ht="12.5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/>
      <c r="G57" s="3"/>
    </row>
    <row r="58" spans="1:7" ht="12.5" x14ac:dyDescent="0.25">
      <c r="A58" s="2" t="s">
        <v>6</v>
      </c>
      <c r="B58" s="3">
        <v>4</v>
      </c>
      <c r="C58" s="3">
        <v>15</v>
      </c>
      <c r="D58" s="3">
        <f>PRODUCT(C58,5)</f>
        <v>75</v>
      </c>
      <c r="E58" s="3">
        <f>PRODUCT(B58,D58)</f>
        <v>300</v>
      </c>
      <c r="F58" s="2"/>
      <c r="G58" s="3"/>
    </row>
    <row r="59" spans="1:7" ht="12.5" x14ac:dyDescent="0.25">
      <c r="A59" s="2" t="s">
        <v>7</v>
      </c>
      <c r="B59" s="3">
        <v>2</v>
      </c>
      <c r="C59" s="3">
        <v>10</v>
      </c>
      <c r="D59" s="3">
        <f t="shared" ref="D59:D62" si="11">PRODUCT(C59,5)</f>
        <v>50</v>
      </c>
      <c r="E59" s="3">
        <f t="shared" ref="E59:E63" si="12">PRODUCT(B59,D59)</f>
        <v>100</v>
      </c>
      <c r="F59" s="2"/>
      <c r="G59" s="3"/>
    </row>
    <row r="60" spans="1:7" ht="12.5" x14ac:dyDescent="0.25">
      <c r="A60" s="2" t="s">
        <v>8</v>
      </c>
      <c r="B60" s="3">
        <v>4</v>
      </c>
      <c r="C60" s="3">
        <v>10</v>
      </c>
      <c r="D60" s="3">
        <f t="shared" si="11"/>
        <v>50</v>
      </c>
      <c r="E60" s="3">
        <f t="shared" si="12"/>
        <v>200</v>
      </c>
      <c r="F60" s="2"/>
      <c r="G60" s="3"/>
    </row>
    <row r="61" spans="1:7" ht="12.5" x14ac:dyDescent="0.25">
      <c r="A61" s="2" t="s">
        <v>9</v>
      </c>
      <c r="B61" s="3">
        <v>2</v>
      </c>
      <c r="C61" s="3">
        <v>15</v>
      </c>
      <c r="D61" s="3">
        <f t="shared" si="11"/>
        <v>75</v>
      </c>
      <c r="E61" s="3">
        <f t="shared" si="12"/>
        <v>150</v>
      </c>
      <c r="F61" s="2"/>
      <c r="G61" s="3"/>
    </row>
    <row r="62" spans="1:7" ht="12.5" x14ac:dyDescent="0.25">
      <c r="A62" s="2" t="s">
        <v>10</v>
      </c>
      <c r="B62" s="3">
        <v>1</v>
      </c>
      <c r="C62" s="3">
        <v>15</v>
      </c>
      <c r="D62" s="3">
        <f t="shared" si="11"/>
        <v>75</v>
      </c>
      <c r="E62" s="3">
        <f t="shared" si="12"/>
        <v>75</v>
      </c>
      <c r="F62" s="2"/>
      <c r="G62" s="3"/>
    </row>
    <row r="63" spans="1:7" ht="12.5" x14ac:dyDescent="0.25">
      <c r="A63" s="2" t="s">
        <v>11</v>
      </c>
      <c r="B63" s="3">
        <v>2</v>
      </c>
      <c r="C63" s="3">
        <f>D63/5</f>
        <v>10</v>
      </c>
      <c r="D63" s="3">
        <v>50</v>
      </c>
      <c r="E63" s="3">
        <f t="shared" si="12"/>
        <v>100</v>
      </c>
      <c r="F63" s="2"/>
      <c r="G63" s="3"/>
    </row>
    <row r="64" spans="1:7" ht="12.5" x14ac:dyDescent="0.25">
      <c r="A64" s="2" t="s">
        <v>12</v>
      </c>
      <c r="B64" s="3">
        <f>SUM(B58,B59,B60,B61,B62,B63)</f>
        <v>15</v>
      </c>
      <c r="C64" s="2"/>
      <c r="D64" s="2"/>
      <c r="E64" s="3">
        <f>SUM(E58:E63)</f>
        <v>925</v>
      </c>
      <c r="F64" s="2" t="s">
        <v>13</v>
      </c>
      <c r="G64" s="3">
        <f t="shared" si="4"/>
        <v>61.666666666666664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1"/>
  <sheetViews>
    <sheetView workbookViewId="0">
      <selection activeCell="C17" sqref="C17"/>
    </sheetView>
  </sheetViews>
  <sheetFormatPr defaultColWidth="12.54296875" defaultRowHeight="15.75" customHeight="1" x14ac:dyDescent="0.25"/>
  <cols>
    <col min="2" max="2" width="26.6328125" customWidth="1"/>
    <col min="3" max="3" width="26.7265625" customWidth="1"/>
    <col min="4" max="4" width="32.26953125" customWidth="1"/>
    <col min="5" max="5" width="26.36328125" customWidth="1"/>
    <col min="6" max="6" width="29.90625" customWidth="1"/>
  </cols>
  <sheetData>
    <row r="1" spans="1:6" ht="15.75" customHeigh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ht="15.75" customHeight="1" x14ac:dyDescent="0.25">
      <c r="A2" s="1" t="s">
        <v>0</v>
      </c>
      <c r="B2" s="1">
        <f>'Carga cognitiva'!G9</f>
        <v>47.666666666666664</v>
      </c>
      <c r="C2" s="1">
        <f>'CanQuest (Hápticos)'!G8</f>
        <v>52.333333333333336</v>
      </c>
      <c r="D2" s="1">
        <f>'CanQuest (Control)'!G9</f>
        <v>38</v>
      </c>
      <c r="E2" s="1">
        <f>'CanQuest (Teclado)'!G9</f>
        <v>52.666666666666664</v>
      </c>
      <c r="F2" s="1">
        <f>Laberinto!G9</f>
        <v>43.666666666666664</v>
      </c>
    </row>
    <row r="3" spans="1:6" ht="15.75" customHeight="1" x14ac:dyDescent="0.25">
      <c r="A3" s="1" t="s">
        <v>14</v>
      </c>
      <c r="B3" s="1">
        <f>'Carga cognitiva'!G20</f>
        <v>64</v>
      </c>
      <c r="C3" s="1">
        <f>'CanQuest (Hápticos)'!G18</f>
        <v>45</v>
      </c>
      <c r="D3" s="1">
        <f>'CanQuest (Control)'!G20</f>
        <v>47</v>
      </c>
      <c r="E3" s="1">
        <f>'CanQuest (Teclado)'!G20</f>
        <v>44.333333333333336</v>
      </c>
      <c r="F3" s="1">
        <f>Laberinto!G20</f>
        <v>59</v>
      </c>
    </row>
    <row r="4" spans="1:6" ht="15.75" customHeight="1" x14ac:dyDescent="0.25">
      <c r="A4" s="1" t="s">
        <v>15</v>
      </c>
      <c r="B4" s="1">
        <f>'Carga cognitiva'!G31</f>
        <v>57</v>
      </c>
      <c r="C4" s="1">
        <f>'CanQuest (Hápticos)'!G28</f>
        <v>54.333333333333336</v>
      </c>
      <c r="D4" s="1">
        <f>'CanQuest (Control)'!G31</f>
        <v>34.666666666666664</v>
      </c>
      <c r="E4" s="1">
        <f>'CanQuest (Teclado)'!G31</f>
        <v>40</v>
      </c>
      <c r="F4" s="1">
        <f>Laberinto!G31</f>
        <v>62</v>
      </c>
    </row>
    <row r="5" spans="1:6" ht="15.75" customHeight="1" x14ac:dyDescent="0.25">
      <c r="A5" s="1" t="s">
        <v>16</v>
      </c>
      <c r="B5" s="1">
        <f>'Carga cognitiva'!G42</f>
        <v>46.333333333333336</v>
      </c>
      <c r="C5" s="1">
        <f>'CanQuest (Hápticos)'!G39</f>
        <v>46.333333333333336</v>
      </c>
      <c r="D5" s="1">
        <f>'CanQuest (Control)'!G42</f>
        <v>10</v>
      </c>
      <c r="E5" s="1">
        <f>'CanQuest (Teclado)'!G42</f>
        <v>25</v>
      </c>
      <c r="F5" s="1">
        <f>Laberinto!G42</f>
        <v>56.666666666666664</v>
      </c>
    </row>
    <row r="6" spans="1:6" ht="15.75" customHeight="1" x14ac:dyDescent="0.25">
      <c r="A6" s="1" t="s">
        <v>30</v>
      </c>
      <c r="B6" s="1">
        <f>'Carga cognitiva'!G53</f>
        <v>48.333333333333336</v>
      </c>
      <c r="C6" s="1">
        <f>'CanQuest (Hápticos)'!G50</f>
        <v>48.333333333333336</v>
      </c>
      <c r="D6" s="1">
        <f>'CanQuest (Control)'!G53</f>
        <v>44.333333333333336</v>
      </c>
      <c r="E6" s="1">
        <f>'CanQuest (Teclado)'!G53</f>
        <v>22.333333333333332</v>
      </c>
      <c r="F6" s="1">
        <f>Laberinto!G53</f>
        <v>55</v>
      </c>
    </row>
    <row r="7" spans="1:6" ht="15.75" customHeight="1" x14ac:dyDescent="0.25">
      <c r="A7" s="1" t="s">
        <v>18</v>
      </c>
      <c r="B7" s="1">
        <f>'Carga cognitiva'!G64</f>
        <v>54</v>
      </c>
      <c r="C7" s="1">
        <f>'CanQuest (Hápticos)'!G61</f>
        <v>61</v>
      </c>
      <c r="D7" s="1">
        <f>'CanQuest (Control)'!G64</f>
        <v>38</v>
      </c>
      <c r="E7" s="1">
        <f>'CanQuest (Teclado)'!G64</f>
        <v>55</v>
      </c>
      <c r="F7" s="1">
        <f>Laberinto!G64</f>
        <v>61.666666666666664</v>
      </c>
    </row>
    <row r="8" spans="1:6" ht="15.75" customHeight="1" x14ac:dyDescent="0.25">
      <c r="A8" s="1" t="s">
        <v>19</v>
      </c>
      <c r="B8" s="1">
        <f>'Carga cognitiva'!G75</f>
        <v>53</v>
      </c>
      <c r="C8" s="1">
        <f>'CanQuest (Hápticos)'!G72</f>
        <v>34.333333333333336</v>
      </c>
      <c r="D8" s="1">
        <f>'CanQuest (Control)'!G75</f>
        <v>28.666666666666668</v>
      </c>
      <c r="E8" s="1">
        <f>'CanQuest (Teclado)'!G75</f>
        <v>42</v>
      </c>
      <c r="F8" s="1">
        <v>0</v>
      </c>
    </row>
    <row r="9" spans="1:6" ht="15.75" customHeight="1" x14ac:dyDescent="0.25">
      <c r="A9" s="1" t="s">
        <v>20</v>
      </c>
      <c r="B9" s="1">
        <f>'Carga cognitiva'!G86</f>
        <v>13.333333333333334</v>
      </c>
      <c r="C9" s="1">
        <f>'CanQuest (Hápticos)'!G83</f>
        <v>18</v>
      </c>
      <c r="D9" s="1">
        <f>'CanQuest (Control)'!G86</f>
        <v>60.333333333333336</v>
      </c>
      <c r="E9" s="1">
        <f>'CanQuest (Teclado)'!G86</f>
        <v>75.666666666666671</v>
      </c>
      <c r="F9" s="1">
        <v>0</v>
      </c>
    </row>
    <row r="10" spans="1:6" ht="15.75" customHeight="1" x14ac:dyDescent="0.25">
      <c r="A10" s="1" t="s">
        <v>21</v>
      </c>
      <c r="B10" s="1">
        <f>'Carga cognitiva'!G97</f>
        <v>53.666666666666664</v>
      </c>
      <c r="C10" s="1">
        <f>'CanQuest (Hápticos)'!G94</f>
        <v>37</v>
      </c>
      <c r="D10" s="1">
        <f>'CanQuest (Control)'!G97</f>
        <v>24.333333333333332</v>
      </c>
      <c r="E10" s="1">
        <f>'CanQuest (Teclado)'!G97</f>
        <v>43.666666666666664</v>
      </c>
      <c r="F10" s="1">
        <v>0</v>
      </c>
    </row>
    <row r="11" spans="1:6" ht="15.75" customHeight="1" x14ac:dyDescent="0.25">
      <c r="A11" s="1" t="s">
        <v>22</v>
      </c>
      <c r="B11" s="1">
        <f>'Carga cognitiva'!G108</f>
        <v>50.333333333333336</v>
      </c>
      <c r="C11" s="1">
        <f>'CanQuest (Hápticos)'!G105</f>
        <v>21.333333333333332</v>
      </c>
      <c r="D11" s="1">
        <f>'CanQuest (Control)'!G108</f>
        <v>28.333333333333332</v>
      </c>
      <c r="E11" s="1">
        <f>'CanQuest (Teclado)'!G108</f>
        <v>40</v>
      </c>
      <c r="F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Carga cognitiva</vt:lpstr>
      <vt:lpstr>CanQuest (Hápticos)</vt:lpstr>
      <vt:lpstr>CanQuest (Control)</vt:lpstr>
      <vt:lpstr>CanQuest (Teclado)</vt:lpstr>
      <vt:lpstr>Laberinto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Mirai Innovation</cp:lastModifiedBy>
  <dcterms:modified xsi:type="dcterms:W3CDTF">2026-02-05T06:12:02Z</dcterms:modified>
</cp:coreProperties>
</file>